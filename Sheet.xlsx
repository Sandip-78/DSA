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ndip\Documents\Learning\DSA 2\"/>
    </mc:Choice>
  </mc:AlternateContent>
  <xr:revisionPtr revIDLastSave="0" documentId="13_ncr:1_{1150376D-B825-497E-A759-7EE95803F4B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Progress Dashboard" sheetId="2" r:id="rId2"/>
    <sheet name="90-Day Schedule" sheetId="3" r:id="rId3"/>
    <sheet name="Patterns Cheatsheet" sheetId="4" r:id="rId4"/>
  </sheets>
  <definedNames>
    <definedName name="_xlnm.Print_Titles" localSheetId="0">'DSA Tracker'!$1:$3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E8" i="2" s="1"/>
  <c r="C7" i="2"/>
  <c r="E7" i="2" s="1"/>
  <c r="C6" i="2"/>
  <c r="E6" i="2" s="1"/>
  <c r="C5" i="2"/>
  <c r="E5" i="2" s="1"/>
  <c r="C4" i="2"/>
  <c r="E4" i="2" s="1"/>
  <c r="J2" i="1"/>
  <c r="G2" i="1"/>
  <c r="D2" i="1"/>
  <c r="D5" i="2" l="1"/>
  <c r="D9" i="2"/>
  <c r="D13" i="2"/>
  <c r="D14" i="2"/>
  <c r="D6" i="2"/>
  <c r="D10" i="2"/>
  <c r="D7" i="2"/>
  <c r="D11" i="2"/>
  <c r="D15" i="2"/>
  <c r="C16" i="2"/>
  <c r="D4" i="2"/>
  <c r="D8" i="2"/>
  <c r="D12" i="2"/>
  <c r="E16" i="2" l="1"/>
  <c r="D16" i="2"/>
</calcChain>
</file>

<file path=xl/sharedStrings.xml><?xml version="1.0" encoding="utf-8"?>
<sst xmlns="http://schemas.openxmlformats.org/spreadsheetml/2006/main" count="1213" uniqueCount="502">
  <si>
    <t>DSA Question Tracker — Tier 2/3 Placement Prep (150 Questions)</t>
  </si>
  <si>
    <t>Total: 150</t>
  </si>
  <si>
    <t>#</t>
  </si>
  <si>
    <t>Topic</t>
  </si>
  <si>
    <t>Difficulty</t>
  </si>
  <si>
    <t>Problem Name</t>
  </si>
  <si>
    <t>Pattern</t>
  </si>
  <si>
    <t>LC #</t>
  </si>
  <si>
    <t>Phase</t>
  </si>
  <si>
    <t>Week</t>
  </si>
  <si>
    <t>Status</t>
  </si>
  <si>
    <t>Attempts</t>
  </si>
  <si>
    <t>Notes</t>
  </si>
  <si>
    <t>Revision Date</t>
  </si>
  <si>
    <t>Arrays &amp; Strings</t>
  </si>
  <si>
    <t>Easy</t>
  </si>
  <si>
    <t>Two Sum</t>
  </si>
  <si>
    <t>Hashing</t>
  </si>
  <si>
    <t>#1</t>
  </si>
  <si>
    <t>Phase 1</t>
  </si>
  <si>
    <t>Week 1</t>
  </si>
  <si>
    <t>Not Started</t>
  </si>
  <si>
    <t>Best Time to Buy &amp; Sell Stock</t>
  </si>
  <si>
    <t>Greedy</t>
  </si>
  <si>
    <t>#121</t>
  </si>
  <si>
    <t>Contains Duplicate</t>
  </si>
  <si>
    <t>#217</t>
  </si>
  <si>
    <t>Maximum Subarray</t>
  </si>
  <si>
    <t>Kadane's Algo</t>
  </si>
  <si>
    <t>#53</t>
  </si>
  <si>
    <t>Move Zeroes</t>
  </si>
  <si>
    <t>Two Pointers</t>
  </si>
  <si>
    <t>#283</t>
  </si>
  <si>
    <t>Intersection of Two Arrays II</t>
  </si>
  <si>
    <t>#350</t>
  </si>
  <si>
    <t>Single Number</t>
  </si>
  <si>
    <t>Bit XOR</t>
  </si>
  <si>
    <t>#136</t>
  </si>
  <si>
    <t>Majority Element</t>
  </si>
  <si>
    <t>Moore Voting</t>
  </si>
  <si>
    <t>#169</t>
  </si>
  <si>
    <t>Rotate Array</t>
  </si>
  <si>
    <t>Reversal Trick</t>
  </si>
  <si>
    <t>#189</t>
  </si>
  <si>
    <t>Medium</t>
  </si>
  <si>
    <t>Product of Array Except Self</t>
  </si>
  <si>
    <t>Prefix Product</t>
  </si>
  <si>
    <t>#238</t>
  </si>
  <si>
    <t>Week 2</t>
  </si>
  <si>
    <t>3Sum</t>
  </si>
  <si>
    <t>#15</t>
  </si>
  <si>
    <t>Container With Most Water</t>
  </si>
  <si>
    <t>#11</t>
  </si>
  <si>
    <t>Subarray Sum Equals K</t>
  </si>
  <si>
    <t>Prefix Sum + Hash</t>
  </si>
  <si>
    <t>#560</t>
  </si>
  <si>
    <t>Find the Duplicate Number</t>
  </si>
  <si>
    <t>Fast-Slow Pointer</t>
  </si>
  <si>
    <t>#287</t>
  </si>
  <si>
    <t>Next Permutation</t>
  </si>
  <si>
    <t>Array Manipulation</t>
  </si>
  <si>
    <t>#31</t>
  </si>
  <si>
    <t>Sort Colors</t>
  </si>
  <si>
    <t>Dutch National Flag</t>
  </si>
  <si>
    <t>#75</t>
  </si>
  <si>
    <t>Spiral Matrix</t>
  </si>
  <si>
    <t>Simulation</t>
  </si>
  <si>
    <t>#54</t>
  </si>
  <si>
    <t>Set Matrix Zeroes</t>
  </si>
  <si>
    <t>In-place Marking</t>
  </si>
  <si>
    <t>#73</t>
  </si>
  <si>
    <t>Strings</t>
  </si>
  <si>
    <t>Valid Palindrome</t>
  </si>
  <si>
    <t>#125</t>
  </si>
  <si>
    <t>Week 3</t>
  </si>
  <si>
    <t>Reverse String</t>
  </si>
  <si>
    <t>#344</t>
  </si>
  <si>
    <t>Valid Anagram</t>
  </si>
  <si>
    <t>#242</t>
  </si>
  <si>
    <t>First Unique Character</t>
  </si>
  <si>
    <t>#387</t>
  </si>
  <si>
    <t>Longest Substring Without Repeating</t>
  </si>
  <si>
    <t>Sliding Window</t>
  </si>
  <si>
    <t>#3</t>
  </si>
  <si>
    <t>Group Anagrams</t>
  </si>
  <si>
    <t>#49</t>
  </si>
  <si>
    <t>Longest Palindromic Substring</t>
  </si>
  <si>
    <t>Expand Around Center</t>
  </si>
  <si>
    <t>#5</t>
  </si>
  <si>
    <t>String to Integer (atoi)</t>
  </si>
  <si>
    <t>Parsing</t>
  </si>
  <si>
    <t>#8</t>
  </si>
  <si>
    <t>Count and Say</t>
  </si>
  <si>
    <t>Recursion</t>
  </si>
  <si>
    <t>#38</t>
  </si>
  <si>
    <t>Minimum Window Substring</t>
  </si>
  <si>
    <t>#76</t>
  </si>
  <si>
    <t>Two Pointers &amp; Sliding Window</t>
  </si>
  <si>
    <t>Valid Mountain Array</t>
  </si>
  <si>
    <t>Two Pointer Scan</t>
  </si>
  <si>
    <t>#941</t>
  </si>
  <si>
    <t>Week 4</t>
  </si>
  <si>
    <t>Squares of Sorted Array</t>
  </si>
  <si>
    <t>#977</t>
  </si>
  <si>
    <t>Longest Repeating Char Replacement</t>
  </si>
  <si>
    <t>#424</t>
  </si>
  <si>
    <t>Permutation in String</t>
  </si>
  <si>
    <t>#567</t>
  </si>
  <si>
    <t>Max Consecutive Ones III</t>
  </si>
  <si>
    <t>#1004</t>
  </si>
  <si>
    <t>Fruit Into Baskets</t>
  </si>
  <si>
    <t>#904</t>
  </si>
  <si>
    <t>Hashing &amp; Math</t>
  </si>
  <si>
    <t>Missing Number</t>
  </si>
  <si>
    <t>Math / XOR</t>
  </si>
  <si>
    <t>#268</t>
  </si>
  <si>
    <t>Count Primes</t>
  </si>
  <si>
    <t>Sieve of Eratosthenes</t>
  </si>
  <si>
    <t>#204</t>
  </si>
  <si>
    <t>Happy Number</t>
  </si>
  <si>
    <t>#202</t>
  </si>
  <si>
    <t>Reverse Bits</t>
  </si>
  <si>
    <t>Bit Manipulation</t>
  </si>
  <si>
    <t>#190</t>
  </si>
  <si>
    <t>Power of Two</t>
  </si>
  <si>
    <t>#231</t>
  </si>
  <si>
    <t>Top K Frequent Elements</t>
  </si>
  <si>
    <t>Heap / Bucket Sort</t>
  </si>
  <si>
    <t>#347</t>
  </si>
  <si>
    <t>LRU Cache</t>
  </si>
  <si>
    <t>Doubly LL + Hashmap</t>
  </si>
  <si>
    <t>#146</t>
  </si>
  <si>
    <t>Task Scheduler</t>
  </si>
  <si>
    <t>Greedy + Counting</t>
  </si>
  <si>
    <t>#621</t>
  </si>
  <si>
    <t>Sorting</t>
  </si>
  <si>
    <t>Merge Sorted Array</t>
  </si>
  <si>
    <t>Two Pointer Merge</t>
  </si>
  <si>
    <t>#88</t>
  </si>
  <si>
    <t>Merge Intervals</t>
  </si>
  <si>
    <t>Sort + Merge</t>
  </si>
  <si>
    <t>#56</t>
  </si>
  <si>
    <t>Insert Interval</t>
  </si>
  <si>
    <t>#57</t>
  </si>
  <si>
    <t>Kth Largest Element in Array</t>
  </si>
  <si>
    <t>Quickselect / Heap</t>
  </si>
  <si>
    <t>#215</t>
  </si>
  <si>
    <t>Meeting Rooms II</t>
  </si>
  <si>
    <t>Sort + Heap / Sweep</t>
  </si>
  <si>
    <t>#253</t>
  </si>
  <si>
    <t>Linked List</t>
  </si>
  <si>
    <t>Reverse Linked List</t>
  </si>
  <si>
    <t>Iterative + Recursive</t>
  </si>
  <si>
    <t>#206</t>
  </si>
  <si>
    <t>Phase 2</t>
  </si>
  <si>
    <t>Week 5</t>
  </si>
  <si>
    <t>Linked List Cycle</t>
  </si>
  <si>
    <t>#141</t>
  </si>
  <si>
    <t>Merge Two Sorted Lists</t>
  </si>
  <si>
    <t>Merge</t>
  </si>
  <si>
    <t>#21</t>
  </si>
  <si>
    <t>Middle of the Linked List</t>
  </si>
  <si>
    <t>#876</t>
  </si>
  <si>
    <t>Palindrome Linked List</t>
  </si>
  <si>
    <t>Fast-Slow + Reverse</t>
  </si>
  <si>
    <t>#234</t>
  </si>
  <si>
    <t>Remove Duplicates from Sorted List</t>
  </si>
  <si>
    <t>Iteration</t>
  </si>
  <si>
    <t>#83</t>
  </si>
  <si>
    <t>Add Two Numbers</t>
  </si>
  <si>
    <t>#2</t>
  </si>
  <si>
    <t>Remove Nth Node From End</t>
  </si>
  <si>
    <t>#19</t>
  </si>
  <si>
    <t>Reorder List</t>
  </si>
  <si>
    <t>Fast-Slow + Reverse + Merge</t>
  </si>
  <si>
    <t>#143</t>
  </si>
  <si>
    <t>Linked List Cycle II</t>
  </si>
  <si>
    <t>Floyd's Algorithm</t>
  </si>
  <si>
    <t>#142</t>
  </si>
  <si>
    <t>Flatten Multilevel Doubly LL</t>
  </si>
  <si>
    <t>DFS / Recursion</t>
  </si>
  <si>
    <t>#430</t>
  </si>
  <si>
    <t>Stack &amp; Queue</t>
  </si>
  <si>
    <t>Valid Parentheses</t>
  </si>
  <si>
    <t>Stack</t>
  </si>
  <si>
    <t>#20</t>
  </si>
  <si>
    <t>Week 6</t>
  </si>
  <si>
    <t>Implement Stack using Queues</t>
  </si>
  <si>
    <t>Queue Simulation</t>
  </si>
  <si>
    <t>#225</t>
  </si>
  <si>
    <t>Min Stack</t>
  </si>
  <si>
    <t>Stack with Auxiliary</t>
  </si>
  <si>
    <t>#155</t>
  </si>
  <si>
    <t>Daily Temperatures</t>
  </si>
  <si>
    <t>Monotonic Stack</t>
  </si>
  <si>
    <t>#739</t>
  </si>
  <si>
    <t>Next Greater Element I</t>
  </si>
  <si>
    <t>#496</t>
  </si>
  <si>
    <t>Decode String</t>
  </si>
  <si>
    <t>#394</t>
  </si>
  <si>
    <t>Evaluate Reverse Polish Notation</t>
  </si>
  <si>
    <t>#150</t>
  </si>
  <si>
    <t>Sliding Window Maximum</t>
  </si>
  <si>
    <t>Deque / Monotonic Queue</t>
  </si>
  <si>
    <t>#239</t>
  </si>
  <si>
    <t>Binary Search</t>
  </si>
  <si>
    <t>Classic Binary Search</t>
  </si>
  <si>
    <t>#704</t>
  </si>
  <si>
    <t>Week 7</t>
  </si>
  <si>
    <t>First Bad Version</t>
  </si>
  <si>
    <t>#278</t>
  </si>
  <si>
    <t>Sqrt(x)</t>
  </si>
  <si>
    <t>#69</t>
  </si>
  <si>
    <t>Search in Rotated Sorted Array</t>
  </si>
  <si>
    <t>Modified Binary Search</t>
  </si>
  <si>
    <t>#33</t>
  </si>
  <si>
    <t>Find Minimum in Rotated Sorted Array</t>
  </si>
  <si>
    <t>#153</t>
  </si>
  <si>
    <t>Search a 2D Matrix</t>
  </si>
  <si>
    <t>Binary Search on Matrix</t>
  </si>
  <si>
    <t>#74</t>
  </si>
  <si>
    <t>Koko Eating Bananas</t>
  </si>
  <si>
    <t>Binary Search on Answer</t>
  </si>
  <si>
    <t>#875</t>
  </si>
  <si>
    <t>Find Peak Element</t>
  </si>
  <si>
    <t>#162</t>
  </si>
  <si>
    <t>Time Based Key-Value Store</t>
  </si>
  <si>
    <t>#981</t>
  </si>
  <si>
    <t>Recursion &amp; Backtracking</t>
  </si>
  <si>
    <t>Subsets</t>
  </si>
  <si>
    <t>Backtracking</t>
  </si>
  <si>
    <t>#78</t>
  </si>
  <si>
    <t>Week 8</t>
  </si>
  <si>
    <t>Permutations</t>
  </si>
  <si>
    <t>#46</t>
  </si>
  <si>
    <t>Combination Sum</t>
  </si>
  <si>
    <t>#39</t>
  </si>
  <si>
    <t>Letter Combinations of Phone Number</t>
  </si>
  <si>
    <t>#17</t>
  </si>
  <si>
    <t>Word Search</t>
  </si>
  <si>
    <t>Backtracking + DFS</t>
  </si>
  <si>
    <t>#79</t>
  </si>
  <si>
    <t>Generate Parentheses</t>
  </si>
  <si>
    <t>#22</t>
  </si>
  <si>
    <t>Palindrome Partitioning</t>
  </si>
  <si>
    <t>#131</t>
  </si>
  <si>
    <t>Trees</t>
  </si>
  <si>
    <t>Maximum Depth of Binary Tree</t>
  </si>
  <si>
    <t>DFS Recursion</t>
  </si>
  <si>
    <t>#104</t>
  </si>
  <si>
    <t>Week 9</t>
  </si>
  <si>
    <t>Invert Binary Tree</t>
  </si>
  <si>
    <t>#226</t>
  </si>
  <si>
    <t>Symmetric Tree</t>
  </si>
  <si>
    <t>#101</t>
  </si>
  <si>
    <t>Path Sum</t>
  </si>
  <si>
    <t>#112</t>
  </si>
  <si>
    <t>Diameter of Binary Tree</t>
  </si>
  <si>
    <t>DFS</t>
  </si>
  <si>
    <t>#543</t>
  </si>
  <si>
    <t>Balanced Binary Tree</t>
  </si>
  <si>
    <t>#110</t>
  </si>
  <si>
    <t>LCA of BST</t>
  </si>
  <si>
    <t>BST Property</t>
  </si>
  <si>
    <t>#235</t>
  </si>
  <si>
    <t>Binary Tree Level Order Traversal</t>
  </si>
  <si>
    <t>BFS</t>
  </si>
  <si>
    <t>#102</t>
  </si>
  <si>
    <t>Binary Tree Right Side View</t>
  </si>
  <si>
    <t>#199</t>
  </si>
  <si>
    <t>Validate Binary Search Tree</t>
  </si>
  <si>
    <t>Inorder / Recursion</t>
  </si>
  <si>
    <t>#98</t>
  </si>
  <si>
    <t>Construct Tree from Pre &amp; Inorder</t>
  </si>
  <si>
    <t>#105</t>
  </si>
  <si>
    <t>LCA of Binary Tree</t>
  </si>
  <si>
    <t>#236</t>
  </si>
  <si>
    <t>Path Sum II</t>
  </si>
  <si>
    <t>#113</t>
  </si>
  <si>
    <t>Kth Smallest Element in BST</t>
  </si>
  <si>
    <t>Inorder Traversal</t>
  </si>
  <si>
    <t>#230</t>
  </si>
  <si>
    <t>Flatten Binary Tree to Linked List</t>
  </si>
  <si>
    <t>Morris Traversal</t>
  </si>
  <si>
    <t>#114</t>
  </si>
  <si>
    <t>Graphs</t>
  </si>
  <si>
    <t>Find if Path Exists in Graph</t>
  </si>
  <si>
    <t>BFS / DFS</t>
  </si>
  <si>
    <t>#1971</t>
  </si>
  <si>
    <t>Phase 3</t>
  </si>
  <si>
    <t>Week 10</t>
  </si>
  <si>
    <t>Flood Fill</t>
  </si>
  <si>
    <t>DFS / BFS</t>
  </si>
  <si>
    <t>#733</t>
  </si>
  <si>
    <t>Number of Islands</t>
  </si>
  <si>
    <t>#200</t>
  </si>
  <si>
    <t>Clone Graph</t>
  </si>
  <si>
    <t>BFS + Hashmap</t>
  </si>
  <si>
    <t>#133</t>
  </si>
  <si>
    <t>Course Schedule</t>
  </si>
  <si>
    <t>Topological Sort</t>
  </si>
  <si>
    <t>#207</t>
  </si>
  <si>
    <t>Number of Provinces</t>
  </si>
  <si>
    <t>DFS / Union-Find</t>
  </si>
  <si>
    <t>#547</t>
  </si>
  <si>
    <t>Rotting Oranges</t>
  </si>
  <si>
    <t>#994</t>
  </si>
  <si>
    <t>Word Ladder</t>
  </si>
  <si>
    <t>#127</t>
  </si>
  <si>
    <t>Pacific Atlantic Water Flow</t>
  </si>
  <si>
    <t>DFS from Borders</t>
  </si>
  <si>
    <t>#417</t>
  </si>
  <si>
    <t>Surrounded Regions</t>
  </si>
  <si>
    <t>DFS from Border</t>
  </si>
  <si>
    <t>#130</t>
  </si>
  <si>
    <t>Is Graph Bipartite?</t>
  </si>
  <si>
    <t>BFS Coloring</t>
  </si>
  <si>
    <t>#785</t>
  </si>
  <si>
    <t>Dynamic Programming</t>
  </si>
  <si>
    <t>Climbing Stairs</t>
  </si>
  <si>
    <t>1D DP / Fibonacci</t>
  </si>
  <si>
    <t>#70</t>
  </si>
  <si>
    <t>Week 11</t>
  </si>
  <si>
    <t>House Robber</t>
  </si>
  <si>
    <t>1D DP</t>
  </si>
  <si>
    <t>#198</t>
  </si>
  <si>
    <t>Pascal's Triangle</t>
  </si>
  <si>
    <t>2D DP</t>
  </si>
  <si>
    <t>#118</t>
  </si>
  <si>
    <t>Coin Change</t>
  </si>
  <si>
    <t>#322</t>
  </si>
  <si>
    <t>Longest Increasing Subsequence</t>
  </si>
  <si>
    <t>#300</t>
  </si>
  <si>
    <t>Unique Paths</t>
  </si>
  <si>
    <t>#62</t>
  </si>
  <si>
    <t>Jump Game</t>
  </si>
  <si>
    <t>Greedy / DP</t>
  </si>
  <si>
    <t>#55</t>
  </si>
  <si>
    <t>Longest Common Subsequence</t>
  </si>
  <si>
    <t>#1143</t>
  </si>
  <si>
    <t>0/1 Knapsack</t>
  </si>
  <si>
    <t>GFG</t>
  </si>
  <si>
    <t>Partition Equal Subset Sum</t>
  </si>
  <si>
    <t>Subset Sum DP</t>
  </si>
  <si>
    <t>#416</t>
  </si>
  <si>
    <t>Word Break</t>
  </si>
  <si>
    <t>DP + Hashing</t>
  </si>
  <si>
    <t>#139</t>
  </si>
  <si>
    <t>House Robber II</t>
  </si>
  <si>
    <t>1D DP Circular</t>
  </si>
  <si>
    <t>#213</t>
  </si>
  <si>
    <t>Decode Ways</t>
  </si>
  <si>
    <t>#91</t>
  </si>
  <si>
    <t>Edit Distance</t>
  </si>
  <si>
    <t>#72</t>
  </si>
  <si>
    <t>Matrix Chain Multiplication</t>
  </si>
  <si>
    <t>Interval DP</t>
  </si>
  <si>
    <t>Progress Dashboard</t>
  </si>
  <si>
    <t>Total Qs</t>
  </si>
  <si>
    <t>Done</t>
  </si>
  <si>
    <t>% Done</t>
  </si>
  <si>
    <t>Remaining</t>
  </si>
  <si>
    <t>Phase 1 (Days 1-30)</t>
  </si>
  <si>
    <t>Arrays, Strings, Hashing, Sorting</t>
  </si>
  <si>
    <t>Phase 2 (Days 31-65)</t>
  </si>
  <si>
    <t>LL, Stack, BinSearch, Trees, Backtrack</t>
  </si>
  <si>
    <t>Phase 3 (Days 66-90)</t>
  </si>
  <si>
    <t>Graphs, Dynamic Programming</t>
  </si>
  <si>
    <t>TOTAL</t>
  </si>
  <si>
    <t>HOW TO USE THIS SHEET</t>
  </si>
  <si>
    <t>1. Go to 'DSA Tracker' sheet → find today's problem → click Status dropdown → change to 'In Progress'</t>
  </si>
  <si>
    <t>2. After solving: change Status to 'Done' — the row turns green automatically</t>
  </si>
  <si>
    <t>3. If you found it hard, set Status to 'Revisit' — row turns yellow — come back in 7 days</t>
  </si>
  <si>
    <t>4. Use the 'Attempts' column to log how many tries it took you (honest tracking!)</t>
  </si>
  <si>
    <t>5. Use 'Notes' column to write the pattern in your own words — key to memory</t>
  </si>
  <si>
    <t>6. Use 'Revision Date' to plan your spaced repetition (solve again after 7, 14, 30 days)</t>
  </si>
  <si>
    <t>7. Check Progress Dashboard weekly — see which topics need more attention</t>
  </si>
  <si>
    <t>90-Day DSA Schedule — Weekday Plan</t>
  </si>
  <si>
    <t>Day Range</t>
  </si>
  <si>
    <t>Problems to Solve</t>
  </si>
  <si>
    <t>Difficulty Mix</t>
  </si>
  <si>
    <t>Target Count</t>
  </si>
  <si>
    <t>Days 1-8</t>
  </si>
  <si>
    <t>Two Sum, Max Subarray, Contains Dup, Move Zeroes, 3Sum, Container W/ Most Water, Product Except Self, Set Matrix Zeroes</t>
  </si>
  <si>
    <t>6 Easy + 3 Med</t>
  </si>
  <si>
    <t>9</t>
  </si>
  <si>
    <t>Days 9-14</t>
  </si>
  <si>
    <t>Strings + Hashing</t>
  </si>
  <si>
    <t>Valid Palindrome, Valid Anagram, Group Anagrams, Longest Substring, Top K Frequent, LRU Cache</t>
  </si>
  <si>
    <t>4 Easy + 6 Med</t>
  </si>
  <si>
    <t>10</t>
  </si>
  <si>
    <t>Days 15-18</t>
  </si>
  <si>
    <t>Valid Mountain Array, Squares of Sorted Array, Longest Repeating, Permutation in String, Max Consecutive Ones III</t>
  </si>
  <si>
    <t>2 Easy + 4 Med</t>
  </si>
  <si>
    <t>6</t>
  </si>
  <si>
    <t>Days 19-22</t>
  </si>
  <si>
    <t>Fruit Into Baskets, Minimum Window Substring, Longest Palindromic Substring + 2 mixed sliding window</t>
  </si>
  <si>
    <t>1 Easy + 4 Med</t>
  </si>
  <si>
    <t>5</t>
  </si>
  <si>
    <t>Days 23-26</t>
  </si>
  <si>
    <t>Missing Number, Count Primes, Happy Number, Reverse Bits, Power of Two + sorting basics</t>
  </si>
  <si>
    <t>5 Easy + 3 Med</t>
  </si>
  <si>
    <t>8</t>
  </si>
  <si>
    <t>Days 27-30</t>
  </si>
  <si>
    <t>Merge Sorted Array, Merge Intervals, Insert Interval, Kth Largest Element, Meeting Rooms II</t>
  </si>
  <si>
    <t>Days 31-38</t>
  </si>
  <si>
    <t>Reverse LL, Cycle, Merge Two Sorted, Middle of LL, Palindrome LL, Remove Dups, Add Two Numbers, Remove Nth, Reorder List, Cycle II</t>
  </si>
  <si>
    <t>6 Easy + 5 Med</t>
  </si>
  <si>
    <t>11</t>
  </si>
  <si>
    <t>Days 39-44</t>
  </si>
  <si>
    <t>Valid Parentheses, Min Stack, Implement Stack, Daily Temperatures, Next Greater Element, Decode String, Evaluate RPN, Sliding Window Max</t>
  </si>
  <si>
    <t>3 Easy + 5 Med</t>
  </si>
  <si>
    <t>Days 45-50</t>
  </si>
  <si>
    <t>Binary Search, First Bad Version, Sqrt(x), Search Rotated Array, Find Min in Rotated, Search 2D Matrix, Koko Eating Bananas, Find Peak Element</t>
  </si>
  <si>
    <t>3 Easy + 6 Med</t>
  </si>
  <si>
    <t>Days 51-58</t>
  </si>
  <si>
    <t>Recursion &amp; Backtrack</t>
  </si>
  <si>
    <t>Subsets, Permutations, Combination Sum, Letter Combinations, Word Search, Generate Parentheses, Palindrome Partitioning</t>
  </si>
  <si>
    <t>0 Easy + 7 Med</t>
  </si>
  <si>
    <t>7</t>
  </si>
  <si>
    <t>Days 59-65</t>
  </si>
  <si>
    <t>Trees (BT + BST)</t>
  </si>
  <si>
    <t>Max Depth, Invert Tree, Symmetric, Path Sum, Diameter, Balanced, LCA BST, Level Order, Right Side View, Validate BST, Construct Tree, LCA BT, Kth Smallest, Flatten Tree</t>
  </si>
  <si>
    <t>7 Easy + 8 Med</t>
  </si>
  <si>
    <t>15</t>
  </si>
  <si>
    <t>Days 66-74</t>
  </si>
  <si>
    <t>Graphs (BFS/DFS)</t>
  </si>
  <si>
    <t>Path Exists, Flood Fill, Num of Islands, Clone Graph, Course Schedule, Num Provinces, Rotting Oranges, Word Ladder, Pacific Atlantic, Surrounded Regions, Bipartite</t>
  </si>
  <si>
    <t>2 Easy + 9 Med</t>
  </si>
  <si>
    <t>Days 75-83</t>
  </si>
  <si>
    <t>Climbing Stairs, House Robber, Pascal's Triangle, Coin Change, LIS, Unique Paths, Jump Game, LCS, 0/1 Knapsack, Partition Subset Sum, Word Break, House Robber II, Decode Ways, Edit Distance, Matrix Chain</t>
  </si>
  <si>
    <t>3 Easy + 12 Med</t>
  </si>
  <si>
    <t>Days 84-87</t>
  </si>
  <si>
    <t>Revision Sprint</t>
  </si>
  <si>
    <t>Revisit all 'Revisit' status problems — focus on weak topics</t>
  </si>
  <si>
    <t>Mixed</t>
  </si>
  <si>
    <t>Varies</t>
  </si>
  <si>
    <t>Days 88-90</t>
  </si>
  <si>
    <t>Mock Interviews</t>
  </si>
  <si>
    <t>3 full timed mock tests on LeetCode — 3 problems in 90 min each session</t>
  </si>
  <si>
    <t>9 mock</t>
  </si>
  <si>
    <t>DSA Patterns Quick Reference — When to use which pattern</t>
  </si>
  <si>
    <t>When to Use</t>
  </si>
  <si>
    <t>Key Clue in Problem</t>
  </si>
  <si>
    <t>Time Complexity</t>
  </si>
  <si>
    <t>Example Problems</t>
  </si>
  <si>
    <t>Sorted array, find pair/triplet, compare from both ends</t>
  </si>
  <si>
    <t>Sorted input, find pair that sums to X</t>
  </si>
  <si>
    <t>O(n)</t>
  </si>
  <si>
    <t>Two Sum II, 3Sum, Container W/ Most Water</t>
  </si>
  <si>
    <t>Subarray/substring of fixed or variable size</t>
  </si>
  <si>
    <t>Longest/shortest subarray, contiguous elements</t>
  </si>
  <si>
    <t>Longest Substring, Min Window Substring, Max Consecutive Ones</t>
  </si>
  <si>
    <t>Linked list cycle, find middle, detect loop</t>
  </si>
  <si>
    <t>Linked list + cycle or middle detection</t>
  </si>
  <si>
    <t>Linked List Cycle, Middle of LL, Happy Number</t>
  </si>
  <si>
    <t>Prefix Sum</t>
  </si>
  <si>
    <t>Range sum queries, subarray sum problems</t>
  </si>
  <si>
    <t>Sum of subarray equals K, range queries</t>
  </si>
  <si>
    <t>Subarray Sum = K, Product Except Self</t>
  </si>
  <si>
    <t>Find duplicates, count freq, O(1) lookup</t>
  </si>
  <si>
    <t>Find if exists, count occurrences, group</t>
  </si>
  <si>
    <t>Two Sum, Group Anagrams, Contains Duplicate</t>
  </si>
  <si>
    <t>Sorted array, search in answer space</t>
  </si>
  <si>
    <t>Sorted + find target or optimal value</t>
  </si>
  <si>
    <t>O(log n)</t>
  </si>
  <si>
    <t>Search Rotated Array, Koko Bananas, Find Peak</t>
  </si>
  <si>
    <t>Shortest path, level-by-level traversal</t>
  </si>
  <si>
    <t>Shortest path, minimum steps, level order</t>
  </si>
  <si>
    <t>O(V+E)</t>
  </si>
  <si>
    <t>Word Ladder, Rotting Oranges, Level Order</t>
  </si>
  <si>
    <t>Explore all paths, connected components</t>
  </si>
  <si>
    <t>All paths, islands, connected regions</t>
  </si>
  <si>
    <t>Number of Islands, Path Sum, Word Search</t>
  </si>
  <si>
    <t>Generate all combinations/permutations/subsets</t>
  </si>
  <si>
    <t>Find all solutions, generate all combos</t>
  </si>
  <si>
    <t>O(2^n)</t>
  </si>
  <si>
    <t>Subsets, Permutations, Combination Sum</t>
  </si>
  <si>
    <t>Overlapping subproblems, optimal substructure</t>
  </si>
  <si>
    <t>Max/min/count ways, can we achieve X?</t>
  </si>
  <si>
    <t>O(n²) or less</t>
  </si>
  <si>
    <t>Coin Change, LCS, Edit Distance, Knapsack</t>
  </si>
  <si>
    <t>Next greater/smaller element, span problems</t>
  </si>
  <si>
    <t>Next greater element, temperature, buildings</t>
  </si>
  <si>
    <t>Daily Temperatures, Next Greater Element</t>
  </si>
  <si>
    <t>Dependency ordering, detect cycle in DAG</t>
  </si>
  <si>
    <t>Prerequisites, ordering with dependencies</t>
  </si>
  <si>
    <t>Course Schedule, Alien Dictionary</t>
  </si>
  <si>
    <t>Union-Find</t>
  </si>
  <si>
    <t>Connected components, cycle detection</t>
  </si>
  <si>
    <t>Disjoint sets, connected, same group?</t>
  </si>
  <si>
    <t>O(α(n))</t>
  </si>
  <si>
    <t>Number of Provinces, Redundant Connection</t>
  </si>
  <si>
    <t>Local optimal = global optimal, always true</t>
  </si>
  <si>
    <t>Minimum cost, maximum value, always take best</t>
  </si>
  <si>
    <t>O(n log n)</t>
  </si>
  <si>
    <t>Jump Game, Task Scheduler, Meeting Rooms</t>
  </si>
  <si>
    <t>Kadane's Algorithm</t>
  </si>
  <si>
    <t>Maximum subarray sum</t>
  </si>
  <si>
    <t>Maximum sum contiguous subarray</t>
  </si>
  <si>
    <t>Maximum Subarray, Best Time Buy Stock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</si>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</sst>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1A4A8A"/>
      <name val="Arial"/>
    </font>
    <font>
      <b/>
      <sz val="10"/>
      <color rgb="FFFFFFFF"/>
      <name val="Arial"/>
    </font>
    <font>
      <sz val="9"/>
      <color rgb="FF333333"/>
      <name val="Arial"/>
    </font>
    <font>
      <b/>
      <sz val="9"/>
      <color rgb="FF276027"/>
      <name val="Arial"/>
    </font>
    <font>
      <b/>
      <sz val="9"/>
      <color rgb="FF1A5276"/>
      <name val="Arial"/>
    </font>
    <font>
      <b/>
      <sz val="9"/>
      <color rgb="FF7D4E00"/>
      <name val="Arial"/>
    </font>
    <font>
      <b/>
      <sz val="9"/>
      <color rgb="FF1E8449"/>
      <name val="Arial"/>
    </font>
    <font>
      <b/>
      <sz val="9"/>
      <color rgb="FF7D6608"/>
      <name val="Arial"/>
    </font>
    <font>
      <sz val="10"/>
      <color rgb="FF333333"/>
      <name val="Arial"/>
    </font>
    <font>
      <sz val="10"/>
      <color rgb="FF276027"/>
      <name val="Arial"/>
    </font>
    <font>
      <sz val="10"/>
      <color rgb="FFCC0000"/>
      <name val="Arial"/>
    </font>
    <font>
      <b/>
      <sz val="10"/>
      <color rgb="FF90EE90"/>
      <name val="Arial"/>
    </font>
    <font>
      <b/>
      <sz val="10"/>
      <color rgb="FFFFB347"/>
      <name val="Arial"/>
    </font>
    <font>
      <b/>
      <sz val="9"/>
      <color rgb="FF1A4A8A"/>
      <name val="Arial"/>
    </font>
    <font>
      <sz val="9"/>
      <color rgb="FF555555"/>
      <name val="Arial"/>
    </font>
    <font>
      <b/>
      <sz val="11"/>
      <color rgb="FF1A4A8A"/>
      <name val="Arial"/>
    </font>
    <font>
      <b/>
      <sz val="13"/>
      <color rgb="FFFFFFFF"/>
      <name val="Arial"/>
    </font>
  </fonts>
  <fills count="12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6F0D6"/>
      </patternFill>
    </fill>
    <fill>
      <patternFill patternType="solid">
        <fgColor rgb="FFD6EAF8"/>
      </patternFill>
    </fill>
    <fill>
      <patternFill patternType="solid">
        <fgColor rgb="FFFFF9F0"/>
      </patternFill>
    </fill>
    <fill>
      <patternFill patternType="solid">
        <fgColor rgb="FFF8F9FA"/>
      </patternFill>
    </fill>
    <fill>
      <patternFill patternType="solid">
        <fgColor rgb="FFFFF3CD"/>
      </patternFill>
    </fill>
    <fill>
      <patternFill patternType="solid">
        <fgColor rgb="FFD5F5E3"/>
      </patternFill>
    </fill>
    <fill>
      <patternFill patternType="solid">
        <fgColor rgb="FFFCF3C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8" borderId="1" xfId="0" applyFont="1" applyFill="1" applyBorder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10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/>
    <xf numFmtId="0" fontId="3" fillId="2" borderId="1" xfId="0" applyFont="1" applyFill="1" applyBorder="1"/>
    <xf numFmtId="0" fontId="13" fillId="2" borderId="1" xfId="0" applyFont="1" applyFill="1" applyBorder="1" applyAlignment="1">
      <alignment horizontal="center" vertical="center" wrapText="1"/>
    </xf>
    <xf numFmtId="9" fontId="13" fillId="2" borderId="1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7" fillId="3" borderId="1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color rgb="FFF57F17"/>
        <name val="Arial"/>
      </font>
      <fill>
        <patternFill patternType="solid">
          <fgColor rgb="FFFFF8E1"/>
          <bgColor rgb="FFFFF8E1"/>
        </patternFill>
      </fill>
    </dxf>
    <dxf>
      <font>
        <color rgb="FF2E7D32"/>
        <name val="Arial"/>
      </font>
      <fill>
        <patternFill patternType="solid">
          <fgColor rgb="FFE8F5E9"/>
          <bgColor rgb="FFE8F5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6"/>
  <sheetViews>
    <sheetView showGridLines="0" tabSelected="1" zoomScale="96" zoomScaleNormal="96" workbookViewId="0">
      <pane ySplit="3" topLeftCell="A4" activePane="bottomLeft" state="frozen"/>
      <selection pane="bottomLeft" activeCell="N11" sqref="N11"/>
    </sheetView>
  </sheetViews>
  <sheetFormatPr defaultRowHeight="14.4" x14ac:dyDescent="0.3"/>
  <cols>
    <col min="1" max="1" width="4" customWidth="1"/>
    <col min="2" max="2" width="22" customWidth="1"/>
    <col min="3" max="3" width="11" customWidth="1"/>
    <col min="4" max="4" width="38" customWidth="1"/>
    <col min="5" max="5" width="26" customWidth="1"/>
    <col min="6" max="6" width="8" customWidth="1"/>
    <col min="7" max="7" width="9" customWidth="1"/>
    <col min="8" max="8" width="8" customWidth="1"/>
    <col min="9" max="9" width="12" customWidth="1"/>
    <col min="10" max="10" width="10" customWidth="1"/>
    <col min="11" max="11" width="30" customWidth="1"/>
    <col min="12" max="12" width="14" customWidth="1"/>
  </cols>
  <sheetData>
    <row r="1" spans="1:14" ht="31.95" customHeight="1" x14ac:dyDescent="0.3">
      <c r="A1" s="29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4" ht="22.05" customHeight="1" x14ac:dyDescent="0.3">
      <c r="A2" s="27" t="s">
        <v>1</v>
      </c>
      <c r="B2" s="28"/>
      <c r="C2" s="28"/>
      <c r="D2" s="27" t="str">
        <f>COUNTIF(I4:I153,"Done")&amp;" Done"</f>
        <v>9 Done</v>
      </c>
      <c r="E2" s="28"/>
      <c r="F2" s="28"/>
      <c r="G2" s="27" t="str">
        <f>COUNTIF(I4:I153,"Revisit")&amp;" Need Revisit"</f>
        <v>0 Need Revisit</v>
      </c>
      <c r="H2" s="28"/>
      <c r="I2" s="28"/>
      <c r="J2" s="27" t="str">
        <f>(150-COUNTIF(I4:I153,"Done"))&amp;" Remaining"</f>
        <v>141 Remaining</v>
      </c>
      <c r="K2" s="28"/>
      <c r="L2" s="28"/>
    </row>
    <row r="3" spans="1:14" ht="28.0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4" ht="18" customHeight="1" x14ac:dyDescent="0.3">
      <c r="A4" s="2">
        <v>1</v>
      </c>
      <c r="B4" s="2" t="s">
        <v>14</v>
      </c>
      <c r="C4" s="3" t="s">
        <v>15</v>
      </c>
      <c r="D4" s="4" t="s">
        <v>16</v>
      </c>
      <c r="E4" s="4" t="s">
        <v>17</v>
      </c>
      <c r="F4" s="2" t="s">
        <v>18</v>
      </c>
      <c r="G4" s="5" t="s">
        <v>19</v>
      </c>
      <c r="H4" s="2" t="s">
        <v>20</v>
      </c>
      <c r="I4" s="6" t="s">
        <v>359</v>
      </c>
      <c r="J4" s="2">
        <v>0</v>
      </c>
      <c r="K4" s="4"/>
      <c r="L4" s="2"/>
    </row>
    <row r="5" spans="1:14" ht="18" customHeight="1" x14ac:dyDescent="0.3">
      <c r="A5" s="7">
        <v>2</v>
      </c>
      <c r="B5" s="7" t="s">
        <v>14</v>
      </c>
      <c r="C5" s="3" t="s">
        <v>15</v>
      </c>
      <c r="D5" s="8" t="s">
        <v>22</v>
      </c>
      <c r="E5" s="8" t="s">
        <v>23</v>
      </c>
      <c r="F5" s="7" t="s">
        <v>24</v>
      </c>
      <c r="G5" s="5" t="s">
        <v>19</v>
      </c>
      <c r="H5" s="7" t="s">
        <v>20</v>
      </c>
      <c r="I5" s="6" t="s">
        <v>359</v>
      </c>
      <c r="J5" s="7">
        <v>0</v>
      </c>
      <c r="K5" s="8"/>
      <c r="L5" s="7"/>
    </row>
    <row r="6" spans="1:14" ht="18" customHeight="1" x14ac:dyDescent="0.3">
      <c r="A6" s="2">
        <v>3</v>
      </c>
      <c r="B6" s="2" t="s">
        <v>14</v>
      </c>
      <c r="C6" s="3" t="s">
        <v>15</v>
      </c>
      <c r="D6" s="4" t="s">
        <v>25</v>
      </c>
      <c r="E6" s="4" t="s">
        <v>17</v>
      </c>
      <c r="F6" s="2" t="s">
        <v>26</v>
      </c>
      <c r="G6" s="5" t="s">
        <v>19</v>
      </c>
      <c r="H6" s="2" t="s">
        <v>20</v>
      </c>
      <c r="I6" s="6" t="s">
        <v>359</v>
      </c>
      <c r="J6" s="2">
        <v>0</v>
      </c>
      <c r="K6" s="4"/>
      <c r="L6" s="2"/>
      <c r="N6" t="s">
        <v>501</v>
      </c>
    </row>
    <row r="7" spans="1:14" ht="18" customHeight="1" x14ac:dyDescent="0.3">
      <c r="A7" s="7">
        <v>4</v>
      </c>
      <c r="B7" s="7" t="s">
        <v>14</v>
      </c>
      <c r="C7" s="3" t="s">
        <v>15</v>
      </c>
      <c r="D7" s="8" t="s">
        <v>27</v>
      </c>
      <c r="E7" s="8" t="s">
        <v>28</v>
      </c>
      <c r="F7" s="7" t="s">
        <v>29</v>
      </c>
      <c r="G7" s="5" t="s">
        <v>19</v>
      </c>
      <c r="H7" s="7" t="s">
        <v>20</v>
      </c>
      <c r="I7" s="6" t="s">
        <v>359</v>
      </c>
      <c r="J7" s="7">
        <v>0</v>
      </c>
      <c r="K7" s="8"/>
      <c r="L7" s="7"/>
    </row>
    <row r="8" spans="1:14" ht="18" customHeight="1" x14ac:dyDescent="0.3">
      <c r="A8" s="2">
        <v>5</v>
      </c>
      <c r="B8" s="2" t="s">
        <v>14</v>
      </c>
      <c r="C8" s="3" t="s">
        <v>15</v>
      </c>
      <c r="D8" s="4" t="s">
        <v>30</v>
      </c>
      <c r="E8" s="4" t="s">
        <v>31</v>
      </c>
      <c r="F8" s="2" t="s">
        <v>32</v>
      </c>
      <c r="G8" s="5" t="s">
        <v>19</v>
      </c>
      <c r="H8" s="2" t="s">
        <v>20</v>
      </c>
      <c r="I8" s="6" t="s">
        <v>359</v>
      </c>
      <c r="J8" s="2">
        <v>0</v>
      </c>
      <c r="K8" s="4"/>
      <c r="L8" s="2"/>
    </row>
    <row r="9" spans="1:14" ht="18" customHeight="1" x14ac:dyDescent="0.3">
      <c r="A9" s="7">
        <v>6</v>
      </c>
      <c r="B9" s="7" t="s">
        <v>14</v>
      </c>
      <c r="C9" s="3" t="s">
        <v>15</v>
      </c>
      <c r="D9" s="8" t="s">
        <v>33</v>
      </c>
      <c r="E9" s="8" t="s">
        <v>17</v>
      </c>
      <c r="F9" s="7" t="s">
        <v>34</v>
      </c>
      <c r="G9" s="5" t="s">
        <v>19</v>
      </c>
      <c r="H9" s="7" t="s">
        <v>20</v>
      </c>
      <c r="I9" s="6" t="s">
        <v>359</v>
      </c>
      <c r="J9" s="7">
        <v>0</v>
      </c>
      <c r="K9" s="8"/>
      <c r="L9" s="7"/>
    </row>
    <row r="10" spans="1:14" ht="18" customHeight="1" x14ac:dyDescent="0.3">
      <c r="A10" s="2">
        <v>7</v>
      </c>
      <c r="B10" s="2" t="s">
        <v>14</v>
      </c>
      <c r="C10" s="3" t="s">
        <v>15</v>
      </c>
      <c r="D10" s="4" t="s">
        <v>35</v>
      </c>
      <c r="E10" s="4" t="s">
        <v>36</v>
      </c>
      <c r="F10" s="2" t="s">
        <v>37</v>
      </c>
      <c r="G10" s="5" t="s">
        <v>19</v>
      </c>
      <c r="H10" s="2" t="s">
        <v>20</v>
      </c>
      <c r="I10" s="6" t="s">
        <v>359</v>
      </c>
      <c r="J10" s="2">
        <v>0</v>
      </c>
      <c r="K10" s="4"/>
      <c r="L10" s="2"/>
    </row>
    <row r="11" spans="1:14" ht="18" customHeight="1" x14ac:dyDescent="0.3">
      <c r="A11" s="7">
        <v>8</v>
      </c>
      <c r="B11" s="7" t="s">
        <v>14</v>
      </c>
      <c r="C11" s="3" t="s">
        <v>15</v>
      </c>
      <c r="D11" s="8" t="s">
        <v>38</v>
      </c>
      <c r="E11" s="8" t="s">
        <v>39</v>
      </c>
      <c r="F11" s="7" t="s">
        <v>40</v>
      </c>
      <c r="G11" s="5" t="s">
        <v>19</v>
      </c>
      <c r="H11" s="7" t="s">
        <v>20</v>
      </c>
      <c r="I11" s="6" t="s">
        <v>359</v>
      </c>
      <c r="J11" s="7">
        <v>0</v>
      </c>
      <c r="K11" s="8"/>
      <c r="L11" s="7"/>
    </row>
    <row r="12" spans="1:14" ht="18" customHeight="1" x14ac:dyDescent="0.3">
      <c r="A12" s="2">
        <v>9</v>
      </c>
      <c r="B12" s="2" t="s">
        <v>14</v>
      </c>
      <c r="C12" s="3" t="s">
        <v>15</v>
      </c>
      <c r="D12" s="4" t="s">
        <v>41</v>
      </c>
      <c r="E12" s="4" t="s">
        <v>42</v>
      </c>
      <c r="F12" s="2" t="s">
        <v>43</v>
      </c>
      <c r="G12" s="5" t="s">
        <v>19</v>
      </c>
      <c r="H12" s="2" t="s">
        <v>20</v>
      </c>
      <c r="I12" s="6" t="s">
        <v>359</v>
      </c>
      <c r="J12" s="2">
        <v>0</v>
      </c>
      <c r="K12" s="4"/>
      <c r="L12" s="2"/>
      <c r="N12" t="s">
        <v>501</v>
      </c>
    </row>
    <row r="13" spans="1:14" ht="18" customHeight="1" x14ac:dyDescent="0.3">
      <c r="A13" s="7">
        <v>10</v>
      </c>
      <c r="B13" s="7" t="s">
        <v>14</v>
      </c>
      <c r="C13" s="9" t="s">
        <v>44</v>
      </c>
      <c r="D13" s="8" t="s">
        <v>45</v>
      </c>
      <c r="E13" s="8" t="s">
        <v>46</v>
      </c>
      <c r="F13" s="7" t="s">
        <v>47</v>
      </c>
      <c r="G13" s="5" t="s">
        <v>19</v>
      </c>
      <c r="H13" s="7" t="s">
        <v>48</v>
      </c>
      <c r="I13" s="6" t="s">
        <v>21</v>
      </c>
      <c r="J13" s="7">
        <v>0</v>
      </c>
      <c r="K13" s="8"/>
      <c r="L13" s="7"/>
    </row>
    <row r="14" spans="1:14" ht="18" customHeight="1" x14ac:dyDescent="0.3">
      <c r="A14" s="2">
        <v>11</v>
      </c>
      <c r="B14" s="2" t="s">
        <v>14</v>
      </c>
      <c r="C14" s="9" t="s">
        <v>44</v>
      </c>
      <c r="D14" s="4" t="s">
        <v>49</v>
      </c>
      <c r="E14" s="4" t="s">
        <v>31</v>
      </c>
      <c r="F14" s="2" t="s">
        <v>50</v>
      </c>
      <c r="G14" s="5" t="s">
        <v>19</v>
      </c>
      <c r="H14" s="2" t="s">
        <v>48</v>
      </c>
      <c r="I14" s="6" t="s">
        <v>21</v>
      </c>
      <c r="J14" s="2">
        <v>0</v>
      </c>
      <c r="K14" s="4"/>
      <c r="L14" s="2"/>
    </row>
    <row r="15" spans="1:14" ht="18" customHeight="1" x14ac:dyDescent="0.3">
      <c r="A15" s="7">
        <v>12</v>
      </c>
      <c r="B15" s="7" t="s">
        <v>14</v>
      </c>
      <c r="C15" s="9" t="s">
        <v>44</v>
      </c>
      <c r="D15" s="8" t="s">
        <v>51</v>
      </c>
      <c r="E15" s="8" t="s">
        <v>31</v>
      </c>
      <c r="F15" s="7" t="s">
        <v>52</v>
      </c>
      <c r="G15" s="5" t="s">
        <v>19</v>
      </c>
      <c r="H15" s="7" t="s">
        <v>48</v>
      </c>
      <c r="I15" s="6" t="s">
        <v>21</v>
      </c>
      <c r="J15" s="7">
        <v>0</v>
      </c>
      <c r="K15" s="8"/>
      <c r="L15" s="7"/>
    </row>
    <row r="16" spans="1:14" ht="18" customHeight="1" x14ac:dyDescent="0.3">
      <c r="A16" s="2">
        <v>13</v>
      </c>
      <c r="B16" s="2" t="s">
        <v>14</v>
      </c>
      <c r="C16" s="9" t="s">
        <v>44</v>
      </c>
      <c r="D16" s="4" t="s">
        <v>53</v>
      </c>
      <c r="E16" s="4" t="s">
        <v>54</v>
      </c>
      <c r="F16" s="2" t="s">
        <v>55</v>
      </c>
      <c r="G16" s="5" t="s">
        <v>19</v>
      </c>
      <c r="H16" s="2" t="s">
        <v>48</v>
      </c>
      <c r="I16" s="6" t="s">
        <v>21</v>
      </c>
      <c r="J16" s="2">
        <v>0</v>
      </c>
      <c r="K16" s="4"/>
      <c r="L16" s="2"/>
    </row>
    <row r="17" spans="1:12" ht="18" customHeight="1" x14ac:dyDescent="0.3">
      <c r="A17" s="7">
        <v>14</v>
      </c>
      <c r="B17" s="7" t="s">
        <v>14</v>
      </c>
      <c r="C17" s="9" t="s">
        <v>44</v>
      </c>
      <c r="D17" s="8" t="s">
        <v>56</v>
      </c>
      <c r="E17" s="8" t="s">
        <v>57</v>
      </c>
      <c r="F17" s="7" t="s">
        <v>58</v>
      </c>
      <c r="G17" s="5" t="s">
        <v>19</v>
      </c>
      <c r="H17" s="7" t="s">
        <v>48</v>
      </c>
      <c r="I17" s="6" t="s">
        <v>21</v>
      </c>
      <c r="J17" s="7">
        <v>0</v>
      </c>
      <c r="K17" s="8"/>
      <c r="L17" s="7"/>
    </row>
    <row r="18" spans="1:12" ht="18" customHeight="1" x14ac:dyDescent="0.3">
      <c r="A18" s="2">
        <v>15</v>
      </c>
      <c r="B18" s="2" t="s">
        <v>14</v>
      </c>
      <c r="C18" s="9" t="s">
        <v>44</v>
      </c>
      <c r="D18" s="4" t="s">
        <v>59</v>
      </c>
      <c r="E18" s="4" t="s">
        <v>60</v>
      </c>
      <c r="F18" s="2" t="s">
        <v>61</v>
      </c>
      <c r="G18" s="5" t="s">
        <v>19</v>
      </c>
      <c r="H18" s="2" t="s">
        <v>48</v>
      </c>
      <c r="I18" s="6" t="s">
        <v>21</v>
      </c>
      <c r="J18" s="2">
        <v>0</v>
      </c>
      <c r="K18" s="4"/>
      <c r="L18" s="2"/>
    </row>
    <row r="19" spans="1:12" ht="18" customHeight="1" x14ac:dyDescent="0.3">
      <c r="A19" s="7">
        <v>16</v>
      </c>
      <c r="B19" s="7" t="s">
        <v>14</v>
      </c>
      <c r="C19" s="9" t="s">
        <v>44</v>
      </c>
      <c r="D19" s="8" t="s">
        <v>62</v>
      </c>
      <c r="E19" s="8" t="s">
        <v>63</v>
      </c>
      <c r="F19" s="7" t="s">
        <v>64</v>
      </c>
      <c r="G19" s="5" t="s">
        <v>19</v>
      </c>
      <c r="H19" s="7" t="s">
        <v>48</v>
      </c>
      <c r="I19" s="6" t="s">
        <v>21</v>
      </c>
      <c r="J19" s="7">
        <v>0</v>
      </c>
      <c r="K19" s="8"/>
      <c r="L19" s="7"/>
    </row>
    <row r="20" spans="1:12" ht="18" customHeight="1" x14ac:dyDescent="0.3">
      <c r="A20" s="2">
        <v>17</v>
      </c>
      <c r="B20" s="2" t="s">
        <v>14</v>
      </c>
      <c r="C20" s="9" t="s">
        <v>44</v>
      </c>
      <c r="D20" s="4" t="s">
        <v>65</v>
      </c>
      <c r="E20" s="4" t="s">
        <v>66</v>
      </c>
      <c r="F20" s="2" t="s">
        <v>67</v>
      </c>
      <c r="G20" s="5" t="s">
        <v>19</v>
      </c>
      <c r="H20" s="2" t="s">
        <v>48</v>
      </c>
      <c r="I20" s="6" t="s">
        <v>21</v>
      </c>
      <c r="J20" s="2">
        <v>0</v>
      </c>
      <c r="K20" s="4"/>
      <c r="L20" s="2"/>
    </row>
    <row r="21" spans="1:12" ht="18" customHeight="1" x14ac:dyDescent="0.3">
      <c r="A21" s="7">
        <v>18</v>
      </c>
      <c r="B21" s="7" t="s">
        <v>14</v>
      </c>
      <c r="C21" s="9" t="s">
        <v>44</v>
      </c>
      <c r="D21" s="8" t="s">
        <v>68</v>
      </c>
      <c r="E21" s="8" t="s">
        <v>69</v>
      </c>
      <c r="F21" s="7" t="s">
        <v>70</v>
      </c>
      <c r="G21" s="5" t="s">
        <v>19</v>
      </c>
      <c r="H21" s="7" t="s">
        <v>48</v>
      </c>
      <c r="I21" s="6" t="s">
        <v>21</v>
      </c>
      <c r="J21" s="7">
        <v>0</v>
      </c>
      <c r="K21" s="8"/>
      <c r="L21" s="7"/>
    </row>
    <row r="22" spans="1:12" ht="18" customHeight="1" x14ac:dyDescent="0.3">
      <c r="A22" s="2">
        <v>19</v>
      </c>
      <c r="B22" s="2" t="s">
        <v>71</v>
      </c>
      <c r="C22" s="3" t="s">
        <v>15</v>
      </c>
      <c r="D22" s="4" t="s">
        <v>72</v>
      </c>
      <c r="E22" s="4" t="s">
        <v>31</v>
      </c>
      <c r="F22" s="2" t="s">
        <v>73</v>
      </c>
      <c r="G22" s="5" t="s">
        <v>19</v>
      </c>
      <c r="H22" s="2" t="s">
        <v>74</v>
      </c>
      <c r="I22" s="6" t="s">
        <v>21</v>
      </c>
      <c r="J22" s="2">
        <v>0</v>
      </c>
      <c r="K22" s="4"/>
      <c r="L22" s="2"/>
    </row>
    <row r="23" spans="1:12" ht="18" customHeight="1" x14ac:dyDescent="0.3">
      <c r="A23" s="7">
        <v>20</v>
      </c>
      <c r="B23" s="7" t="s">
        <v>71</v>
      </c>
      <c r="C23" s="3" t="s">
        <v>15</v>
      </c>
      <c r="D23" s="8" t="s">
        <v>75</v>
      </c>
      <c r="E23" s="8" t="s">
        <v>31</v>
      </c>
      <c r="F23" s="7" t="s">
        <v>76</v>
      </c>
      <c r="G23" s="5" t="s">
        <v>19</v>
      </c>
      <c r="H23" s="7" t="s">
        <v>74</v>
      </c>
      <c r="I23" s="6" t="s">
        <v>21</v>
      </c>
      <c r="J23" s="7">
        <v>0</v>
      </c>
      <c r="K23" s="8"/>
      <c r="L23" s="7"/>
    </row>
    <row r="24" spans="1:12" ht="18" customHeight="1" x14ac:dyDescent="0.3">
      <c r="A24" s="2">
        <v>21</v>
      </c>
      <c r="B24" s="2" t="s">
        <v>71</v>
      </c>
      <c r="C24" s="3" t="s">
        <v>15</v>
      </c>
      <c r="D24" s="4" t="s">
        <v>77</v>
      </c>
      <c r="E24" s="4" t="s">
        <v>17</v>
      </c>
      <c r="F24" s="2" t="s">
        <v>78</v>
      </c>
      <c r="G24" s="5" t="s">
        <v>19</v>
      </c>
      <c r="H24" s="2" t="s">
        <v>74</v>
      </c>
      <c r="I24" s="6" t="s">
        <v>21</v>
      </c>
      <c r="J24" s="2">
        <v>0</v>
      </c>
      <c r="K24" s="4"/>
      <c r="L24" s="2"/>
    </row>
    <row r="25" spans="1:12" ht="18" customHeight="1" x14ac:dyDescent="0.3">
      <c r="A25" s="7">
        <v>22</v>
      </c>
      <c r="B25" s="7" t="s">
        <v>71</v>
      </c>
      <c r="C25" s="3" t="s">
        <v>15</v>
      </c>
      <c r="D25" s="8" t="s">
        <v>79</v>
      </c>
      <c r="E25" s="8" t="s">
        <v>17</v>
      </c>
      <c r="F25" s="7" t="s">
        <v>80</v>
      </c>
      <c r="G25" s="5" t="s">
        <v>19</v>
      </c>
      <c r="H25" s="7" t="s">
        <v>74</v>
      </c>
      <c r="I25" s="6" t="s">
        <v>21</v>
      </c>
      <c r="J25" s="7">
        <v>0</v>
      </c>
      <c r="K25" s="8"/>
      <c r="L25" s="7"/>
    </row>
    <row r="26" spans="1:12" ht="18" customHeight="1" x14ac:dyDescent="0.3">
      <c r="A26" s="2">
        <v>23</v>
      </c>
      <c r="B26" s="2" t="s">
        <v>71</v>
      </c>
      <c r="C26" s="9" t="s">
        <v>44</v>
      </c>
      <c r="D26" s="4" t="s">
        <v>81</v>
      </c>
      <c r="E26" s="4" t="s">
        <v>82</v>
      </c>
      <c r="F26" s="2" t="s">
        <v>83</v>
      </c>
      <c r="G26" s="5" t="s">
        <v>19</v>
      </c>
      <c r="H26" s="2" t="s">
        <v>74</v>
      </c>
      <c r="I26" s="6" t="s">
        <v>21</v>
      </c>
      <c r="J26" s="2">
        <v>0</v>
      </c>
      <c r="K26" s="4"/>
      <c r="L26" s="2"/>
    </row>
    <row r="27" spans="1:12" ht="18" customHeight="1" x14ac:dyDescent="0.3">
      <c r="A27" s="7">
        <v>24</v>
      </c>
      <c r="B27" s="7" t="s">
        <v>71</v>
      </c>
      <c r="C27" s="9" t="s">
        <v>44</v>
      </c>
      <c r="D27" s="8" t="s">
        <v>84</v>
      </c>
      <c r="E27" s="8" t="s">
        <v>17</v>
      </c>
      <c r="F27" s="7" t="s">
        <v>85</v>
      </c>
      <c r="G27" s="5" t="s">
        <v>19</v>
      </c>
      <c r="H27" s="7" t="s">
        <v>74</v>
      </c>
      <c r="I27" s="6" t="s">
        <v>21</v>
      </c>
      <c r="J27" s="7">
        <v>0</v>
      </c>
      <c r="K27" s="8"/>
      <c r="L27" s="7"/>
    </row>
    <row r="28" spans="1:12" ht="18" customHeight="1" x14ac:dyDescent="0.3">
      <c r="A28" s="2">
        <v>25</v>
      </c>
      <c r="B28" s="2" t="s">
        <v>71</v>
      </c>
      <c r="C28" s="9" t="s">
        <v>44</v>
      </c>
      <c r="D28" s="4" t="s">
        <v>86</v>
      </c>
      <c r="E28" s="4" t="s">
        <v>87</v>
      </c>
      <c r="F28" s="2" t="s">
        <v>88</v>
      </c>
      <c r="G28" s="5" t="s">
        <v>19</v>
      </c>
      <c r="H28" s="2" t="s">
        <v>74</v>
      </c>
      <c r="I28" s="6" t="s">
        <v>21</v>
      </c>
      <c r="J28" s="2">
        <v>0</v>
      </c>
      <c r="K28" s="4"/>
      <c r="L28" s="2"/>
    </row>
    <row r="29" spans="1:12" ht="18" customHeight="1" x14ac:dyDescent="0.3">
      <c r="A29" s="7">
        <v>26</v>
      </c>
      <c r="B29" s="7" t="s">
        <v>71</v>
      </c>
      <c r="C29" s="9" t="s">
        <v>44</v>
      </c>
      <c r="D29" s="8" t="s">
        <v>89</v>
      </c>
      <c r="E29" s="8" t="s">
        <v>90</v>
      </c>
      <c r="F29" s="7" t="s">
        <v>91</v>
      </c>
      <c r="G29" s="5" t="s">
        <v>19</v>
      </c>
      <c r="H29" s="7" t="s">
        <v>74</v>
      </c>
      <c r="I29" s="6" t="s">
        <v>21</v>
      </c>
      <c r="J29" s="7">
        <v>0</v>
      </c>
      <c r="K29" s="8"/>
      <c r="L29" s="7"/>
    </row>
    <row r="30" spans="1:12" ht="18" customHeight="1" x14ac:dyDescent="0.3">
      <c r="A30" s="2">
        <v>27</v>
      </c>
      <c r="B30" s="2" t="s">
        <v>71</v>
      </c>
      <c r="C30" s="9" t="s">
        <v>44</v>
      </c>
      <c r="D30" s="4" t="s">
        <v>92</v>
      </c>
      <c r="E30" s="4" t="s">
        <v>93</v>
      </c>
      <c r="F30" s="2" t="s">
        <v>94</v>
      </c>
      <c r="G30" s="5" t="s">
        <v>19</v>
      </c>
      <c r="H30" s="2" t="s">
        <v>74</v>
      </c>
      <c r="I30" s="6" t="s">
        <v>21</v>
      </c>
      <c r="J30" s="2">
        <v>0</v>
      </c>
      <c r="K30" s="4"/>
      <c r="L30" s="2"/>
    </row>
    <row r="31" spans="1:12" ht="18" customHeight="1" x14ac:dyDescent="0.3">
      <c r="A31" s="7">
        <v>28</v>
      </c>
      <c r="B31" s="7" t="s">
        <v>71</v>
      </c>
      <c r="C31" s="9" t="s">
        <v>44</v>
      </c>
      <c r="D31" s="8" t="s">
        <v>95</v>
      </c>
      <c r="E31" s="8" t="s">
        <v>82</v>
      </c>
      <c r="F31" s="7" t="s">
        <v>96</v>
      </c>
      <c r="G31" s="5" t="s">
        <v>19</v>
      </c>
      <c r="H31" s="7" t="s">
        <v>74</v>
      </c>
      <c r="I31" s="6" t="s">
        <v>21</v>
      </c>
      <c r="J31" s="7">
        <v>0</v>
      </c>
      <c r="K31" s="8"/>
      <c r="L31" s="7"/>
    </row>
    <row r="32" spans="1:12" ht="18" customHeight="1" x14ac:dyDescent="0.3">
      <c r="A32" s="2">
        <v>29</v>
      </c>
      <c r="B32" s="2" t="s">
        <v>97</v>
      </c>
      <c r="C32" s="3" t="s">
        <v>15</v>
      </c>
      <c r="D32" s="4" t="s">
        <v>98</v>
      </c>
      <c r="E32" s="4" t="s">
        <v>99</v>
      </c>
      <c r="F32" s="2" t="s">
        <v>100</v>
      </c>
      <c r="G32" s="5" t="s">
        <v>19</v>
      </c>
      <c r="H32" s="2" t="s">
        <v>101</v>
      </c>
      <c r="I32" s="6" t="s">
        <v>21</v>
      </c>
      <c r="J32" s="2">
        <v>0</v>
      </c>
      <c r="K32" s="4"/>
      <c r="L32" s="2"/>
    </row>
    <row r="33" spans="1:12" ht="18" customHeight="1" x14ac:dyDescent="0.3">
      <c r="A33" s="7">
        <v>30</v>
      </c>
      <c r="B33" s="7" t="s">
        <v>97</v>
      </c>
      <c r="C33" s="3" t="s">
        <v>15</v>
      </c>
      <c r="D33" s="8" t="s">
        <v>102</v>
      </c>
      <c r="E33" s="8" t="s">
        <v>31</v>
      </c>
      <c r="F33" s="7" t="s">
        <v>103</v>
      </c>
      <c r="G33" s="5" t="s">
        <v>19</v>
      </c>
      <c r="H33" s="7" t="s">
        <v>101</v>
      </c>
      <c r="I33" s="6" t="s">
        <v>21</v>
      </c>
      <c r="J33" s="7">
        <v>0</v>
      </c>
      <c r="K33" s="8"/>
      <c r="L33" s="7"/>
    </row>
    <row r="34" spans="1:12" ht="18" customHeight="1" x14ac:dyDescent="0.3">
      <c r="A34" s="2">
        <v>31</v>
      </c>
      <c r="B34" s="2" t="s">
        <v>97</v>
      </c>
      <c r="C34" s="9" t="s">
        <v>44</v>
      </c>
      <c r="D34" s="4" t="s">
        <v>104</v>
      </c>
      <c r="E34" s="4" t="s">
        <v>82</v>
      </c>
      <c r="F34" s="2" t="s">
        <v>105</v>
      </c>
      <c r="G34" s="5" t="s">
        <v>19</v>
      </c>
      <c r="H34" s="2" t="s">
        <v>101</v>
      </c>
      <c r="I34" s="6" t="s">
        <v>21</v>
      </c>
      <c r="J34" s="2">
        <v>0</v>
      </c>
      <c r="K34" s="4"/>
      <c r="L34" s="2"/>
    </row>
    <row r="35" spans="1:12" ht="18" customHeight="1" x14ac:dyDescent="0.3">
      <c r="A35" s="7">
        <v>32</v>
      </c>
      <c r="B35" s="7" t="s">
        <v>97</v>
      </c>
      <c r="C35" s="9" t="s">
        <v>44</v>
      </c>
      <c r="D35" s="8" t="s">
        <v>106</v>
      </c>
      <c r="E35" s="8" t="s">
        <v>82</v>
      </c>
      <c r="F35" s="7" t="s">
        <v>107</v>
      </c>
      <c r="G35" s="5" t="s">
        <v>19</v>
      </c>
      <c r="H35" s="7" t="s">
        <v>101</v>
      </c>
      <c r="I35" s="6" t="s">
        <v>21</v>
      </c>
      <c r="J35" s="7">
        <v>0</v>
      </c>
      <c r="K35" s="8"/>
      <c r="L35" s="7"/>
    </row>
    <row r="36" spans="1:12" ht="18" customHeight="1" x14ac:dyDescent="0.3">
      <c r="A36" s="2">
        <v>33</v>
      </c>
      <c r="B36" s="2" t="s">
        <v>97</v>
      </c>
      <c r="C36" s="9" t="s">
        <v>44</v>
      </c>
      <c r="D36" s="4" t="s">
        <v>108</v>
      </c>
      <c r="E36" s="4" t="s">
        <v>82</v>
      </c>
      <c r="F36" s="2" t="s">
        <v>109</v>
      </c>
      <c r="G36" s="5" t="s">
        <v>19</v>
      </c>
      <c r="H36" s="2" t="s">
        <v>101</v>
      </c>
      <c r="I36" s="6" t="s">
        <v>21</v>
      </c>
      <c r="J36" s="2">
        <v>0</v>
      </c>
      <c r="K36" s="4"/>
      <c r="L36" s="2"/>
    </row>
    <row r="37" spans="1:12" ht="18" customHeight="1" x14ac:dyDescent="0.3">
      <c r="A37" s="7">
        <v>34</v>
      </c>
      <c r="B37" s="7" t="s">
        <v>97</v>
      </c>
      <c r="C37" s="9" t="s">
        <v>44</v>
      </c>
      <c r="D37" s="8" t="s">
        <v>110</v>
      </c>
      <c r="E37" s="8" t="s">
        <v>82</v>
      </c>
      <c r="F37" s="7" t="s">
        <v>111</v>
      </c>
      <c r="G37" s="5" t="s">
        <v>19</v>
      </c>
      <c r="H37" s="7" t="s">
        <v>101</v>
      </c>
      <c r="I37" s="6" t="s">
        <v>21</v>
      </c>
      <c r="J37" s="7">
        <v>0</v>
      </c>
      <c r="K37" s="8"/>
      <c r="L37" s="7"/>
    </row>
    <row r="38" spans="1:12" ht="18" customHeight="1" x14ac:dyDescent="0.3">
      <c r="A38" s="2">
        <v>35</v>
      </c>
      <c r="B38" s="2" t="s">
        <v>112</v>
      </c>
      <c r="C38" s="3" t="s">
        <v>15</v>
      </c>
      <c r="D38" s="4" t="s">
        <v>113</v>
      </c>
      <c r="E38" s="4" t="s">
        <v>114</v>
      </c>
      <c r="F38" s="2" t="s">
        <v>115</v>
      </c>
      <c r="G38" s="5" t="s">
        <v>19</v>
      </c>
      <c r="H38" s="2" t="s">
        <v>101</v>
      </c>
      <c r="I38" s="6" t="s">
        <v>21</v>
      </c>
      <c r="J38" s="2">
        <v>0</v>
      </c>
      <c r="K38" s="4"/>
      <c r="L38" s="2"/>
    </row>
    <row r="39" spans="1:12" ht="18" customHeight="1" x14ac:dyDescent="0.3">
      <c r="A39" s="7">
        <v>36</v>
      </c>
      <c r="B39" s="7" t="s">
        <v>112</v>
      </c>
      <c r="C39" s="3" t="s">
        <v>15</v>
      </c>
      <c r="D39" s="8" t="s">
        <v>116</v>
      </c>
      <c r="E39" s="8" t="s">
        <v>117</v>
      </c>
      <c r="F39" s="7" t="s">
        <v>118</v>
      </c>
      <c r="G39" s="5" t="s">
        <v>19</v>
      </c>
      <c r="H39" s="7" t="s">
        <v>101</v>
      </c>
      <c r="I39" s="6" t="s">
        <v>21</v>
      </c>
      <c r="J39" s="7">
        <v>0</v>
      </c>
      <c r="K39" s="8"/>
      <c r="L39" s="7"/>
    </row>
    <row r="40" spans="1:12" ht="18" customHeight="1" x14ac:dyDescent="0.3">
      <c r="A40" s="2">
        <v>37</v>
      </c>
      <c r="B40" s="2" t="s">
        <v>112</v>
      </c>
      <c r="C40" s="3" t="s">
        <v>15</v>
      </c>
      <c r="D40" s="4" t="s">
        <v>119</v>
      </c>
      <c r="E40" s="4" t="s">
        <v>57</v>
      </c>
      <c r="F40" s="2" t="s">
        <v>120</v>
      </c>
      <c r="G40" s="5" t="s">
        <v>19</v>
      </c>
      <c r="H40" s="2" t="s">
        <v>101</v>
      </c>
      <c r="I40" s="6" t="s">
        <v>21</v>
      </c>
      <c r="J40" s="2">
        <v>0</v>
      </c>
      <c r="K40" s="4"/>
      <c r="L40" s="2"/>
    </row>
    <row r="41" spans="1:12" ht="18" customHeight="1" x14ac:dyDescent="0.3">
      <c r="A41" s="7">
        <v>38</v>
      </c>
      <c r="B41" s="7" t="s">
        <v>112</v>
      </c>
      <c r="C41" s="3" t="s">
        <v>15</v>
      </c>
      <c r="D41" s="8" t="s">
        <v>121</v>
      </c>
      <c r="E41" s="8" t="s">
        <v>122</v>
      </c>
      <c r="F41" s="7" t="s">
        <v>123</v>
      </c>
      <c r="G41" s="5" t="s">
        <v>19</v>
      </c>
      <c r="H41" s="7" t="s">
        <v>101</v>
      </c>
      <c r="I41" s="6" t="s">
        <v>21</v>
      </c>
      <c r="J41" s="7">
        <v>0</v>
      </c>
      <c r="K41" s="8"/>
      <c r="L41" s="7"/>
    </row>
    <row r="42" spans="1:12" ht="18" customHeight="1" x14ac:dyDescent="0.3">
      <c r="A42" s="2">
        <v>39</v>
      </c>
      <c r="B42" s="2" t="s">
        <v>112</v>
      </c>
      <c r="C42" s="3" t="s">
        <v>15</v>
      </c>
      <c r="D42" s="4" t="s">
        <v>124</v>
      </c>
      <c r="E42" s="4" t="s">
        <v>122</v>
      </c>
      <c r="F42" s="2" t="s">
        <v>125</v>
      </c>
      <c r="G42" s="5" t="s">
        <v>19</v>
      </c>
      <c r="H42" s="2" t="s">
        <v>101</v>
      </c>
      <c r="I42" s="6" t="s">
        <v>21</v>
      </c>
      <c r="J42" s="2">
        <v>0</v>
      </c>
      <c r="K42" s="4"/>
      <c r="L42" s="2"/>
    </row>
    <row r="43" spans="1:12" ht="18" customHeight="1" x14ac:dyDescent="0.3">
      <c r="A43" s="7">
        <v>40</v>
      </c>
      <c r="B43" s="7" t="s">
        <v>112</v>
      </c>
      <c r="C43" s="9" t="s">
        <v>44</v>
      </c>
      <c r="D43" s="8" t="s">
        <v>126</v>
      </c>
      <c r="E43" s="8" t="s">
        <v>127</v>
      </c>
      <c r="F43" s="7" t="s">
        <v>128</v>
      </c>
      <c r="G43" s="5" t="s">
        <v>19</v>
      </c>
      <c r="H43" s="7" t="s">
        <v>101</v>
      </c>
      <c r="I43" s="6" t="s">
        <v>21</v>
      </c>
      <c r="J43" s="7">
        <v>0</v>
      </c>
      <c r="K43" s="8"/>
      <c r="L43" s="7"/>
    </row>
    <row r="44" spans="1:12" ht="18" customHeight="1" x14ac:dyDescent="0.3">
      <c r="A44" s="2">
        <v>41</v>
      </c>
      <c r="B44" s="2" t="s">
        <v>112</v>
      </c>
      <c r="C44" s="9" t="s">
        <v>44</v>
      </c>
      <c r="D44" s="4" t="s">
        <v>129</v>
      </c>
      <c r="E44" s="4" t="s">
        <v>130</v>
      </c>
      <c r="F44" s="2" t="s">
        <v>131</v>
      </c>
      <c r="G44" s="5" t="s">
        <v>19</v>
      </c>
      <c r="H44" s="2" t="s">
        <v>101</v>
      </c>
      <c r="I44" s="6" t="s">
        <v>21</v>
      </c>
      <c r="J44" s="2">
        <v>0</v>
      </c>
      <c r="K44" s="4"/>
      <c r="L44" s="2"/>
    </row>
    <row r="45" spans="1:12" ht="18" customHeight="1" x14ac:dyDescent="0.3">
      <c r="A45" s="7">
        <v>42</v>
      </c>
      <c r="B45" s="7" t="s">
        <v>112</v>
      </c>
      <c r="C45" s="9" t="s">
        <v>44</v>
      </c>
      <c r="D45" s="8" t="s">
        <v>132</v>
      </c>
      <c r="E45" s="8" t="s">
        <v>133</v>
      </c>
      <c r="F45" s="7" t="s">
        <v>134</v>
      </c>
      <c r="G45" s="5" t="s">
        <v>19</v>
      </c>
      <c r="H45" s="7" t="s">
        <v>101</v>
      </c>
      <c r="I45" s="6" t="s">
        <v>21</v>
      </c>
      <c r="J45" s="7">
        <v>0</v>
      </c>
      <c r="K45" s="8"/>
      <c r="L45" s="7"/>
    </row>
    <row r="46" spans="1:12" ht="18" customHeight="1" x14ac:dyDescent="0.3">
      <c r="A46" s="2">
        <v>43</v>
      </c>
      <c r="B46" s="2" t="s">
        <v>135</v>
      </c>
      <c r="C46" s="3" t="s">
        <v>15</v>
      </c>
      <c r="D46" s="4" t="s">
        <v>136</v>
      </c>
      <c r="E46" s="4" t="s">
        <v>137</v>
      </c>
      <c r="F46" s="2" t="s">
        <v>138</v>
      </c>
      <c r="G46" s="5" t="s">
        <v>19</v>
      </c>
      <c r="H46" s="2" t="s">
        <v>101</v>
      </c>
      <c r="I46" s="6" t="s">
        <v>21</v>
      </c>
      <c r="J46" s="2">
        <v>0</v>
      </c>
      <c r="K46" s="4"/>
      <c r="L46" s="2"/>
    </row>
    <row r="47" spans="1:12" ht="18" customHeight="1" x14ac:dyDescent="0.3">
      <c r="A47" s="7">
        <v>44</v>
      </c>
      <c r="B47" s="7" t="s">
        <v>135</v>
      </c>
      <c r="C47" s="9" t="s">
        <v>44</v>
      </c>
      <c r="D47" s="8" t="s">
        <v>139</v>
      </c>
      <c r="E47" s="8" t="s">
        <v>140</v>
      </c>
      <c r="F47" s="7" t="s">
        <v>141</v>
      </c>
      <c r="G47" s="5" t="s">
        <v>19</v>
      </c>
      <c r="H47" s="7" t="s">
        <v>101</v>
      </c>
      <c r="I47" s="6" t="s">
        <v>21</v>
      </c>
      <c r="J47" s="7">
        <v>0</v>
      </c>
      <c r="K47" s="8"/>
      <c r="L47" s="7"/>
    </row>
    <row r="48" spans="1:12" ht="18" customHeight="1" x14ac:dyDescent="0.3">
      <c r="A48" s="2">
        <v>45</v>
      </c>
      <c r="B48" s="2" t="s">
        <v>135</v>
      </c>
      <c r="C48" s="9" t="s">
        <v>44</v>
      </c>
      <c r="D48" s="4" t="s">
        <v>142</v>
      </c>
      <c r="E48" s="4" t="s">
        <v>66</v>
      </c>
      <c r="F48" s="2" t="s">
        <v>143</v>
      </c>
      <c r="G48" s="5" t="s">
        <v>19</v>
      </c>
      <c r="H48" s="2" t="s">
        <v>101</v>
      </c>
      <c r="I48" s="6" t="s">
        <v>21</v>
      </c>
      <c r="J48" s="2">
        <v>0</v>
      </c>
      <c r="K48" s="4"/>
      <c r="L48" s="2"/>
    </row>
    <row r="49" spans="1:12" ht="18" customHeight="1" x14ac:dyDescent="0.3">
      <c r="A49" s="7">
        <v>46</v>
      </c>
      <c r="B49" s="7" t="s">
        <v>135</v>
      </c>
      <c r="C49" s="9" t="s">
        <v>44</v>
      </c>
      <c r="D49" s="8" t="s">
        <v>144</v>
      </c>
      <c r="E49" s="8" t="s">
        <v>145</v>
      </c>
      <c r="F49" s="7" t="s">
        <v>146</v>
      </c>
      <c r="G49" s="5" t="s">
        <v>19</v>
      </c>
      <c r="H49" s="7" t="s">
        <v>101</v>
      </c>
      <c r="I49" s="6" t="s">
        <v>21</v>
      </c>
      <c r="J49" s="7">
        <v>0</v>
      </c>
      <c r="K49" s="8"/>
      <c r="L49" s="7"/>
    </row>
    <row r="50" spans="1:12" ht="18" customHeight="1" x14ac:dyDescent="0.3">
      <c r="A50" s="2">
        <v>47</v>
      </c>
      <c r="B50" s="2" t="s">
        <v>135</v>
      </c>
      <c r="C50" s="9" t="s">
        <v>44</v>
      </c>
      <c r="D50" s="4" t="s">
        <v>147</v>
      </c>
      <c r="E50" s="4" t="s">
        <v>148</v>
      </c>
      <c r="F50" s="2" t="s">
        <v>149</v>
      </c>
      <c r="G50" s="5" t="s">
        <v>19</v>
      </c>
      <c r="H50" s="2" t="s">
        <v>101</v>
      </c>
      <c r="I50" s="6" t="s">
        <v>21</v>
      </c>
      <c r="J50" s="2">
        <v>0</v>
      </c>
      <c r="K50" s="4"/>
      <c r="L50" s="2"/>
    </row>
    <row r="51" spans="1:12" ht="18" customHeight="1" x14ac:dyDescent="0.3">
      <c r="A51" s="7">
        <v>48</v>
      </c>
      <c r="B51" s="7" t="s">
        <v>150</v>
      </c>
      <c r="C51" s="3" t="s">
        <v>15</v>
      </c>
      <c r="D51" s="8" t="s">
        <v>151</v>
      </c>
      <c r="E51" s="8" t="s">
        <v>152</v>
      </c>
      <c r="F51" s="7" t="s">
        <v>153</v>
      </c>
      <c r="G51" s="10" t="s">
        <v>154</v>
      </c>
      <c r="H51" s="7" t="s">
        <v>155</v>
      </c>
      <c r="I51" s="6" t="s">
        <v>21</v>
      </c>
      <c r="J51" s="7">
        <v>0</v>
      </c>
      <c r="K51" s="8"/>
      <c r="L51" s="7"/>
    </row>
    <row r="52" spans="1:12" ht="18" customHeight="1" x14ac:dyDescent="0.3">
      <c r="A52" s="2">
        <v>49</v>
      </c>
      <c r="B52" s="2" t="s">
        <v>150</v>
      </c>
      <c r="C52" s="3" t="s">
        <v>15</v>
      </c>
      <c r="D52" s="4" t="s">
        <v>156</v>
      </c>
      <c r="E52" s="4" t="s">
        <v>57</v>
      </c>
      <c r="F52" s="2" t="s">
        <v>157</v>
      </c>
      <c r="G52" s="10" t="s">
        <v>154</v>
      </c>
      <c r="H52" s="2" t="s">
        <v>155</v>
      </c>
      <c r="I52" s="6" t="s">
        <v>21</v>
      </c>
      <c r="J52" s="2">
        <v>0</v>
      </c>
      <c r="K52" s="4"/>
      <c r="L52" s="2"/>
    </row>
    <row r="53" spans="1:12" ht="18" customHeight="1" x14ac:dyDescent="0.3">
      <c r="A53" s="7">
        <v>50</v>
      </c>
      <c r="B53" s="7" t="s">
        <v>150</v>
      </c>
      <c r="C53" s="3" t="s">
        <v>15</v>
      </c>
      <c r="D53" s="8" t="s">
        <v>158</v>
      </c>
      <c r="E53" s="8" t="s">
        <v>159</v>
      </c>
      <c r="F53" s="7" t="s">
        <v>160</v>
      </c>
      <c r="G53" s="10" t="s">
        <v>154</v>
      </c>
      <c r="H53" s="7" t="s">
        <v>155</v>
      </c>
      <c r="I53" s="6" t="s">
        <v>21</v>
      </c>
      <c r="J53" s="7">
        <v>0</v>
      </c>
      <c r="K53" s="8"/>
      <c r="L53" s="7"/>
    </row>
    <row r="54" spans="1:12" ht="18" customHeight="1" x14ac:dyDescent="0.3">
      <c r="A54" s="2">
        <v>51</v>
      </c>
      <c r="B54" s="2" t="s">
        <v>150</v>
      </c>
      <c r="C54" s="3" t="s">
        <v>15</v>
      </c>
      <c r="D54" s="4" t="s">
        <v>161</v>
      </c>
      <c r="E54" s="4" t="s">
        <v>57</v>
      </c>
      <c r="F54" s="2" t="s">
        <v>162</v>
      </c>
      <c r="G54" s="10" t="s">
        <v>154</v>
      </c>
      <c r="H54" s="2" t="s">
        <v>155</v>
      </c>
      <c r="I54" s="6" t="s">
        <v>21</v>
      </c>
      <c r="J54" s="2">
        <v>0</v>
      </c>
      <c r="K54" s="4"/>
      <c r="L54" s="2"/>
    </row>
    <row r="55" spans="1:12" ht="18" customHeight="1" x14ac:dyDescent="0.3">
      <c r="A55" s="7">
        <v>52</v>
      </c>
      <c r="B55" s="7" t="s">
        <v>150</v>
      </c>
      <c r="C55" s="3" t="s">
        <v>15</v>
      </c>
      <c r="D55" s="8" t="s">
        <v>163</v>
      </c>
      <c r="E55" s="8" t="s">
        <v>164</v>
      </c>
      <c r="F55" s="7" t="s">
        <v>165</v>
      </c>
      <c r="G55" s="10" t="s">
        <v>154</v>
      </c>
      <c r="H55" s="7" t="s">
        <v>155</v>
      </c>
      <c r="I55" s="6" t="s">
        <v>21</v>
      </c>
      <c r="J55" s="7">
        <v>0</v>
      </c>
      <c r="K55" s="8"/>
      <c r="L55" s="7"/>
    </row>
    <row r="56" spans="1:12" ht="18" customHeight="1" x14ac:dyDescent="0.3">
      <c r="A56" s="2">
        <v>53</v>
      </c>
      <c r="B56" s="2" t="s">
        <v>150</v>
      </c>
      <c r="C56" s="3" t="s">
        <v>15</v>
      </c>
      <c r="D56" s="4" t="s">
        <v>166</v>
      </c>
      <c r="E56" s="4" t="s">
        <v>167</v>
      </c>
      <c r="F56" s="2" t="s">
        <v>168</v>
      </c>
      <c r="G56" s="10" t="s">
        <v>154</v>
      </c>
      <c r="H56" s="2" t="s">
        <v>155</v>
      </c>
      <c r="I56" s="6" t="s">
        <v>21</v>
      </c>
      <c r="J56" s="2">
        <v>0</v>
      </c>
      <c r="K56" s="4"/>
      <c r="L56" s="2"/>
    </row>
    <row r="57" spans="1:12" ht="18" customHeight="1" x14ac:dyDescent="0.3">
      <c r="A57" s="7">
        <v>54</v>
      </c>
      <c r="B57" s="7" t="s">
        <v>150</v>
      </c>
      <c r="C57" s="9" t="s">
        <v>44</v>
      </c>
      <c r="D57" s="8" t="s">
        <v>169</v>
      </c>
      <c r="E57" s="8" t="s">
        <v>66</v>
      </c>
      <c r="F57" s="7" t="s">
        <v>170</v>
      </c>
      <c r="G57" s="10" t="s">
        <v>154</v>
      </c>
      <c r="H57" s="7" t="s">
        <v>155</v>
      </c>
      <c r="I57" s="6" t="s">
        <v>21</v>
      </c>
      <c r="J57" s="7">
        <v>0</v>
      </c>
      <c r="K57" s="8"/>
      <c r="L57" s="7"/>
    </row>
    <row r="58" spans="1:12" ht="18" customHeight="1" x14ac:dyDescent="0.3">
      <c r="A58" s="2">
        <v>55</v>
      </c>
      <c r="B58" s="2" t="s">
        <v>150</v>
      </c>
      <c r="C58" s="9" t="s">
        <v>44</v>
      </c>
      <c r="D58" s="4" t="s">
        <v>171</v>
      </c>
      <c r="E58" s="4" t="s">
        <v>31</v>
      </c>
      <c r="F58" s="2" t="s">
        <v>172</v>
      </c>
      <c r="G58" s="10" t="s">
        <v>154</v>
      </c>
      <c r="H58" s="2" t="s">
        <v>155</v>
      </c>
      <c r="I58" s="6" t="s">
        <v>21</v>
      </c>
      <c r="J58" s="2">
        <v>0</v>
      </c>
      <c r="K58" s="4"/>
      <c r="L58" s="2"/>
    </row>
    <row r="59" spans="1:12" ht="18" customHeight="1" x14ac:dyDescent="0.3">
      <c r="A59" s="7">
        <v>56</v>
      </c>
      <c r="B59" s="7" t="s">
        <v>150</v>
      </c>
      <c r="C59" s="9" t="s">
        <v>44</v>
      </c>
      <c r="D59" s="8" t="s">
        <v>173</v>
      </c>
      <c r="E59" s="8" t="s">
        <v>174</v>
      </c>
      <c r="F59" s="7" t="s">
        <v>175</v>
      </c>
      <c r="G59" s="10" t="s">
        <v>154</v>
      </c>
      <c r="H59" s="7" t="s">
        <v>155</v>
      </c>
      <c r="I59" s="6" t="s">
        <v>21</v>
      </c>
      <c r="J59" s="7">
        <v>0</v>
      </c>
      <c r="K59" s="8"/>
      <c r="L59" s="7"/>
    </row>
    <row r="60" spans="1:12" ht="18" customHeight="1" x14ac:dyDescent="0.3">
      <c r="A60" s="2">
        <v>57</v>
      </c>
      <c r="B60" s="2" t="s">
        <v>150</v>
      </c>
      <c r="C60" s="9" t="s">
        <v>44</v>
      </c>
      <c r="D60" s="4" t="s">
        <v>176</v>
      </c>
      <c r="E60" s="4" t="s">
        <v>177</v>
      </c>
      <c r="F60" s="2" t="s">
        <v>178</v>
      </c>
      <c r="G60" s="10" t="s">
        <v>154</v>
      </c>
      <c r="H60" s="2" t="s">
        <v>155</v>
      </c>
      <c r="I60" s="6" t="s">
        <v>21</v>
      </c>
      <c r="J60" s="2">
        <v>0</v>
      </c>
      <c r="K60" s="4"/>
      <c r="L60" s="2"/>
    </row>
    <row r="61" spans="1:12" ht="18" customHeight="1" x14ac:dyDescent="0.3">
      <c r="A61" s="7">
        <v>58</v>
      </c>
      <c r="B61" s="7" t="s">
        <v>150</v>
      </c>
      <c r="C61" s="9" t="s">
        <v>44</v>
      </c>
      <c r="D61" s="8" t="s">
        <v>179</v>
      </c>
      <c r="E61" s="8" t="s">
        <v>180</v>
      </c>
      <c r="F61" s="7" t="s">
        <v>181</v>
      </c>
      <c r="G61" s="10" t="s">
        <v>154</v>
      </c>
      <c r="H61" s="7" t="s">
        <v>155</v>
      </c>
      <c r="I61" s="6" t="s">
        <v>21</v>
      </c>
      <c r="J61" s="7">
        <v>0</v>
      </c>
      <c r="K61" s="8"/>
      <c r="L61" s="7"/>
    </row>
    <row r="62" spans="1:12" ht="18" customHeight="1" x14ac:dyDescent="0.3">
      <c r="A62" s="2">
        <v>59</v>
      </c>
      <c r="B62" s="2" t="s">
        <v>182</v>
      </c>
      <c r="C62" s="3" t="s">
        <v>15</v>
      </c>
      <c r="D62" s="4" t="s">
        <v>183</v>
      </c>
      <c r="E62" s="4" t="s">
        <v>184</v>
      </c>
      <c r="F62" s="2" t="s">
        <v>185</v>
      </c>
      <c r="G62" s="10" t="s">
        <v>154</v>
      </c>
      <c r="H62" s="2" t="s">
        <v>186</v>
      </c>
      <c r="I62" s="6" t="s">
        <v>21</v>
      </c>
      <c r="J62" s="2">
        <v>0</v>
      </c>
      <c r="K62" s="4"/>
      <c r="L62" s="2"/>
    </row>
    <row r="63" spans="1:12" ht="18" customHeight="1" x14ac:dyDescent="0.3">
      <c r="A63" s="7">
        <v>60</v>
      </c>
      <c r="B63" s="7" t="s">
        <v>182</v>
      </c>
      <c r="C63" s="3" t="s">
        <v>15</v>
      </c>
      <c r="D63" s="8" t="s">
        <v>187</v>
      </c>
      <c r="E63" s="8" t="s">
        <v>188</v>
      </c>
      <c r="F63" s="7" t="s">
        <v>189</v>
      </c>
      <c r="G63" s="10" t="s">
        <v>154</v>
      </c>
      <c r="H63" s="7" t="s">
        <v>186</v>
      </c>
      <c r="I63" s="6" t="s">
        <v>21</v>
      </c>
      <c r="J63" s="7">
        <v>0</v>
      </c>
      <c r="K63" s="8"/>
      <c r="L63" s="7"/>
    </row>
    <row r="64" spans="1:12" ht="18" customHeight="1" x14ac:dyDescent="0.3">
      <c r="A64" s="2">
        <v>61</v>
      </c>
      <c r="B64" s="2" t="s">
        <v>182</v>
      </c>
      <c r="C64" s="3" t="s">
        <v>15</v>
      </c>
      <c r="D64" s="4" t="s">
        <v>190</v>
      </c>
      <c r="E64" s="4" t="s">
        <v>191</v>
      </c>
      <c r="F64" s="2" t="s">
        <v>192</v>
      </c>
      <c r="G64" s="10" t="s">
        <v>154</v>
      </c>
      <c r="H64" s="2" t="s">
        <v>186</v>
      </c>
      <c r="I64" s="6" t="s">
        <v>21</v>
      </c>
      <c r="J64" s="2">
        <v>0</v>
      </c>
      <c r="K64" s="4"/>
      <c r="L64" s="2"/>
    </row>
    <row r="65" spans="1:12" ht="18" customHeight="1" x14ac:dyDescent="0.3">
      <c r="A65" s="7">
        <v>62</v>
      </c>
      <c r="B65" s="7" t="s">
        <v>182</v>
      </c>
      <c r="C65" s="9" t="s">
        <v>44</v>
      </c>
      <c r="D65" s="8" t="s">
        <v>193</v>
      </c>
      <c r="E65" s="8" t="s">
        <v>194</v>
      </c>
      <c r="F65" s="7" t="s">
        <v>195</v>
      </c>
      <c r="G65" s="10" t="s">
        <v>154</v>
      </c>
      <c r="H65" s="7" t="s">
        <v>186</v>
      </c>
      <c r="I65" s="6" t="s">
        <v>21</v>
      </c>
      <c r="J65" s="7">
        <v>0</v>
      </c>
      <c r="K65" s="8"/>
      <c r="L65" s="7"/>
    </row>
    <row r="66" spans="1:12" ht="18" customHeight="1" x14ac:dyDescent="0.3">
      <c r="A66" s="2">
        <v>63</v>
      </c>
      <c r="B66" s="2" t="s">
        <v>182</v>
      </c>
      <c r="C66" s="9" t="s">
        <v>44</v>
      </c>
      <c r="D66" s="4" t="s">
        <v>196</v>
      </c>
      <c r="E66" s="4" t="s">
        <v>194</v>
      </c>
      <c r="F66" s="2" t="s">
        <v>197</v>
      </c>
      <c r="G66" s="10" t="s">
        <v>154</v>
      </c>
      <c r="H66" s="2" t="s">
        <v>186</v>
      </c>
      <c r="I66" s="6" t="s">
        <v>21</v>
      </c>
      <c r="J66" s="2">
        <v>0</v>
      </c>
      <c r="K66" s="4"/>
      <c r="L66" s="2"/>
    </row>
    <row r="67" spans="1:12" ht="18" customHeight="1" x14ac:dyDescent="0.3">
      <c r="A67" s="7">
        <v>64</v>
      </c>
      <c r="B67" s="7" t="s">
        <v>182</v>
      </c>
      <c r="C67" s="9" t="s">
        <v>44</v>
      </c>
      <c r="D67" s="8" t="s">
        <v>198</v>
      </c>
      <c r="E67" s="8" t="s">
        <v>184</v>
      </c>
      <c r="F67" s="7" t="s">
        <v>199</v>
      </c>
      <c r="G67" s="10" t="s">
        <v>154</v>
      </c>
      <c r="H67" s="7" t="s">
        <v>186</v>
      </c>
      <c r="I67" s="6" t="s">
        <v>21</v>
      </c>
      <c r="J67" s="7">
        <v>0</v>
      </c>
      <c r="K67" s="8"/>
      <c r="L67" s="7"/>
    </row>
    <row r="68" spans="1:12" ht="18" customHeight="1" x14ac:dyDescent="0.3">
      <c r="A68" s="2">
        <v>65</v>
      </c>
      <c r="B68" s="2" t="s">
        <v>182</v>
      </c>
      <c r="C68" s="9" t="s">
        <v>44</v>
      </c>
      <c r="D68" s="4" t="s">
        <v>200</v>
      </c>
      <c r="E68" s="4" t="s">
        <v>184</v>
      </c>
      <c r="F68" s="2" t="s">
        <v>201</v>
      </c>
      <c r="G68" s="10" t="s">
        <v>154</v>
      </c>
      <c r="H68" s="2" t="s">
        <v>186</v>
      </c>
      <c r="I68" s="6" t="s">
        <v>21</v>
      </c>
      <c r="J68" s="2">
        <v>0</v>
      </c>
      <c r="K68" s="4"/>
      <c r="L68" s="2"/>
    </row>
    <row r="69" spans="1:12" ht="18" customHeight="1" x14ac:dyDescent="0.3">
      <c r="A69" s="7">
        <v>66</v>
      </c>
      <c r="B69" s="7" t="s">
        <v>182</v>
      </c>
      <c r="C69" s="9" t="s">
        <v>44</v>
      </c>
      <c r="D69" s="8" t="s">
        <v>202</v>
      </c>
      <c r="E69" s="8" t="s">
        <v>203</v>
      </c>
      <c r="F69" s="7" t="s">
        <v>204</v>
      </c>
      <c r="G69" s="10" t="s">
        <v>154</v>
      </c>
      <c r="H69" s="7" t="s">
        <v>186</v>
      </c>
      <c r="I69" s="6" t="s">
        <v>21</v>
      </c>
      <c r="J69" s="7">
        <v>0</v>
      </c>
      <c r="K69" s="8"/>
      <c r="L69" s="7"/>
    </row>
    <row r="70" spans="1:12" ht="18" customHeight="1" x14ac:dyDescent="0.3">
      <c r="A70" s="2">
        <v>67</v>
      </c>
      <c r="B70" s="2" t="s">
        <v>205</v>
      </c>
      <c r="C70" s="3" t="s">
        <v>15</v>
      </c>
      <c r="D70" s="4" t="s">
        <v>205</v>
      </c>
      <c r="E70" s="4" t="s">
        <v>206</v>
      </c>
      <c r="F70" s="2" t="s">
        <v>207</v>
      </c>
      <c r="G70" s="10" t="s">
        <v>154</v>
      </c>
      <c r="H70" s="2" t="s">
        <v>208</v>
      </c>
      <c r="I70" s="6" t="s">
        <v>21</v>
      </c>
      <c r="J70" s="2">
        <v>0</v>
      </c>
      <c r="K70" s="4"/>
      <c r="L70" s="2"/>
    </row>
    <row r="71" spans="1:12" ht="18" customHeight="1" x14ac:dyDescent="0.3">
      <c r="A71" s="7">
        <v>68</v>
      </c>
      <c r="B71" s="7" t="s">
        <v>205</v>
      </c>
      <c r="C71" s="3" t="s">
        <v>15</v>
      </c>
      <c r="D71" s="8" t="s">
        <v>209</v>
      </c>
      <c r="E71" s="8" t="s">
        <v>205</v>
      </c>
      <c r="F71" s="7" t="s">
        <v>210</v>
      </c>
      <c r="G71" s="10" t="s">
        <v>154</v>
      </c>
      <c r="H71" s="7" t="s">
        <v>208</v>
      </c>
      <c r="I71" s="6" t="s">
        <v>21</v>
      </c>
      <c r="J71" s="7">
        <v>0</v>
      </c>
      <c r="K71" s="8"/>
      <c r="L71" s="7"/>
    </row>
    <row r="72" spans="1:12" ht="18" customHeight="1" x14ac:dyDescent="0.3">
      <c r="A72" s="2">
        <v>69</v>
      </c>
      <c r="B72" s="2" t="s">
        <v>205</v>
      </c>
      <c r="C72" s="3" t="s">
        <v>15</v>
      </c>
      <c r="D72" s="4" t="s">
        <v>211</v>
      </c>
      <c r="E72" s="4" t="s">
        <v>205</v>
      </c>
      <c r="F72" s="2" t="s">
        <v>212</v>
      </c>
      <c r="G72" s="10" t="s">
        <v>154</v>
      </c>
      <c r="H72" s="2" t="s">
        <v>208</v>
      </c>
      <c r="I72" s="6" t="s">
        <v>21</v>
      </c>
      <c r="J72" s="2">
        <v>0</v>
      </c>
      <c r="K72" s="4"/>
      <c r="L72" s="2"/>
    </row>
    <row r="73" spans="1:12" ht="18" customHeight="1" x14ac:dyDescent="0.3">
      <c r="A73" s="7">
        <v>70</v>
      </c>
      <c r="B73" s="7" t="s">
        <v>205</v>
      </c>
      <c r="C73" s="9" t="s">
        <v>44</v>
      </c>
      <c r="D73" s="8" t="s">
        <v>213</v>
      </c>
      <c r="E73" s="8" t="s">
        <v>214</v>
      </c>
      <c r="F73" s="7" t="s">
        <v>215</v>
      </c>
      <c r="G73" s="10" t="s">
        <v>154</v>
      </c>
      <c r="H73" s="7" t="s">
        <v>208</v>
      </c>
      <c r="I73" s="6" t="s">
        <v>21</v>
      </c>
      <c r="J73" s="7">
        <v>0</v>
      </c>
      <c r="K73" s="8"/>
      <c r="L73" s="7"/>
    </row>
    <row r="74" spans="1:12" ht="18" customHeight="1" x14ac:dyDescent="0.3">
      <c r="A74" s="2">
        <v>71</v>
      </c>
      <c r="B74" s="2" t="s">
        <v>205</v>
      </c>
      <c r="C74" s="9" t="s">
        <v>44</v>
      </c>
      <c r="D74" s="4" t="s">
        <v>216</v>
      </c>
      <c r="E74" s="4" t="s">
        <v>205</v>
      </c>
      <c r="F74" s="2" t="s">
        <v>217</v>
      </c>
      <c r="G74" s="10" t="s">
        <v>154</v>
      </c>
      <c r="H74" s="2" t="s">
        <v>208</v>
      </c>
      <c r="I74" s="6" t="s">
        <v>21</v>
      </c>
      <c r="J74" s="2">
        <v>0</v>
      </c>
      <c r="K74" s="4"/>
      <c r="L74" s="2"/>
    </row>
    <row r="75" spans="1:12" ht="18" customHeight="1" x14ac:dyDescent="0.3">
      <c r="A75" s="7">
        <v>72</v>
      </c>
      <c r="B75" s="7" t="s">
        <v>205</v>
      </c>
      <c r="C75" s="9" t="s">
        <v>44</v>
      </c>
      <c r="D75" s="8" t="s">
        <v>218</v>
      </c>
      <c r="E75" s="8" t="s">
        <v>219</v>
      </c>
      <c r="F75" s="7" t="s">
        <v>220</v>
      </c>
      <c r="G75" s="10" t="s">
        <v>154</v>
      </c>
      <c r="H75" s="7" t="s">
        <v>208</v>
      </c>
      <c r="I75" s="6" t="s">
        <v>21</v>
      </c>
      <c r="J75" s="7">
        <v>0</v>
      </c>
      <c r="K75" s="8"/>
      <c r="L75" s="7"/>
    </row>
    <row r="76" spans="1:12" ht="18" customHeight="1" x14ac:dyDescent="0.3">
      <c r="A76" s="2">
        <v>73</v>
      </c>
      <c r="B76" s="2" t="s">
        <v>205</v>
      </c>
      <c r="C76" s="9" t="s">
        <v>44</v>
      </c>
      <c r="D76" s="4" t="s">
        <v>221</v>
      </c>
      <c r="E76" s="4" t="s">
        <v>222</v>
      </c>
      <c r="F76" s="2" t="s">
        <v>223</v>
      </c>
      <c r="G76" s="10" t="s">
        <v>154</v>
      </c>
      <c r="H76" s="2" t="s">
        <v>208</v>
      </c>
      <c r="I76" s="6" t="s">
        <v>21</v>
      </c>
      <c r="J76" s="2">
        <v>0</v>
      </c>
      <c r="K76" s="4"/>
      <c r="L76" s="2"/>
    </row>
    <row r="77" spans="1:12" ht="18" customHeight="1" x14ac:dyDescent="0.3">
      <c r="A77" s="7">
        <v>74</v>
      </c>
      <c r="B77" s="7" t="s">
        <v>205</v>
      </c>
      <c r="C77" s="9" t="s">
        <v>44</v>
      </c>
      <c r="D77" s="8" t="s">
        <v>224</v>
      </c>
      <c r="E77" s="8" t="s">
        <v>205</v>
      </c>
      <c r="F77" s="7" t="s">
        <v>225</v>
      </c>
      <c r="G77" s="10" t="s">
        <v>154</v>
      </c>
      <c r="H77" s="7" t="s">
        <v>208</v>
      </c>
      <c r="I77" s="6" t="s">
        <v>21</v>
      </c>
      <c r="J77" s="7">
        <v>0</v>
      </c>
      <c r="K77" s="8"/>
      <c r="L77" s="7"/>
    </row>
    <row r="78" spans="1:12" ht="18" customHeight="1" x14ac:dyDescent="0.3">
      <c r="A78" s="2">
        <v>75</v>
      </c>
      <c r="B78" s="2" t="s">
        <v>205</v>
      </c>
      <c r="C78" s="9" t="s">
        <v>44</v>
      </c>
      <c r="D78" s="4" t="s">
        <v>226</v>
      </c>
      <c r="E78" s="4" t="s">
        <v>205</v>
      </c>
      <c r="F78" s="2" t="s">
        <v>227</v>
      </c>
      <c r="G78" s="10" t="s">
        <v>154</v>
      </c>
      <c r="H78" s="2" t="s">
        <v>208</v>
      </c>
      <c r="I78" s="6" t="s">
        <v>21</v>
      </c>
      <c r="J78" s="2">
        <v>0</v>
      </c>
      <c r="K78" s="4"/>
      <c r="L78" s="2"/>
    </row>
    <row r="79" spans="1:12" ht="18" customHeight="1" x14ac:dyDescent="0.3">
      <c r="A79" s="7">
        <v>76</v>
      </c>
      <c r="B79" s="7" t="s">
        <v>228</v>
      </c>
      <c r="C79" s="9" t="s">
        <v>44</v>
      </c>
      <c r="D79" s="8" t="s">
        <v>229</v>
      </c>
      <c r="E79" s="8" t="s">
        <v>230</v>
      </c>
      <c r="F79" s="7" t="s">
        <v>231</v>
      </c>
      <c r="G79" s="10" t="s">
        <v>154</v>
      </c>
      <c r="H79" s="7" t="s">
        <v>232</v>
      </c>
      <c r="I79" s="6" t="s">
        <v>21</v>
      </c>
      <c r="J79" s="7">
        <v>0</v>
      </c>
      <c r="K79" s="8"/>
      <c r="L79" s="7"/>
    </row>
    <row r="80" spans="1:12" ht="18" customHeight="1" x14ac:dyDescent="0.3">
      <c r="A80" s="2">
        <v>77</v>
      </c>
      <c r="B80" s="2" t="s">
        <v>228</v>
      </c>
      <c r="C80" s="9" t="s">
        <v>44</v>
      </c>
      <c r="D80" s="4" t="s">
        <v>233</v>
      </c>
      <c r="E80" s="4" t="s">
        <v>230</v>
      </c>
      <c r="F80" s="2" t="s">
        <v>234</v>
      </c>
      <c r="G80" s="10" t="s">
        <v>154</v>
      </c>
      <c r="H80" s="2" t="s">
        <v>232</v>
      </c>
      <c r="I80" s="6" t="s">
        <v>21</v>
      </c>
      <c r="J80" s="2">
        <v>0</v>
      </c>
      <c r="K80" s="4"/>
      <c r="L80" s="2"/>
    </row>
    <row r="81" spans="1:12" ht="18" customHeight="1" x14ac:dyDescent="0.3">
      <c r="A81" s="7">
        <v>78</v>
      </c>
      <c r="B81" s="7" t="s">
        <v>228</v>
      </c>
      <c r="C81" s="9" t="s">
        <v>44</v>
      </c>
      <c r="D81" s="8" t="s">
        <v>235</v>
      </c>
      <c r="E81" s="8" t="s">
        <v>230</v>
      </c>
      <c r="F81" s="7" t="s">
        <v>236</v>
      </c>
      <c r="G81" s="10" t="s">
        <v>154</v>
      </c>
      <c r="H81" s="7" t="s">
        <v>232</v>
      </c>
      <c r="I81" s="6" t="s">
        <v>21</v>
      </c>
      <c r="J81" s="7">
        <v>0</v>
      </c>
      <c r="K81" s="8"/>
      <c r="L81" s="7"/>
    </row>
    <row r="82" spans="1:12" ht="18" customHeight="1" x14ac:dyDescent="0.3">
      <c r="A82" s="2">
        <v>79</v>
      </c>
      <c r="B82" s="2" t="s">
        <v>228</v>
      </c>
      <c r="C82" s="9" t="s">
        <v>44</v>
      </c>
      <c r="D82" s="4" t="s">
        <v>237</v>
      </c>
      <c r="E82" s="4" t="s">
        <v>230</v>
      </c>
      <c r="F82" s="2" t="s">
        <v>238</v>
      </c>
      <c r="G82" s="10" t="s">
        <v>154</v>
      </c>
      <c r="H82" s="2" t="s">
        <v>232</v>
      </c>
      <c r="I82" s="6" t="s">
        <v>21</v>
      </c>
      <c r="J82" s="2">
        <v>0</v>
      </c>
      <c r="K82" s="4"/>
      <c r="L82" s="2"/>
    </row>
    <row r="83" spans="1:12" ht="18" customHeight="1" x14ac:dyDescent="0.3">
      <c r="A83" s="7">
        <v>80</v>
      </c>
      <c r="B83" s="7" t="s">
        <v>228</v>
      </c>
      <c r="C83" s="9" t="s">
        <v>44</v>
      </c>
      <c r="D83" s="8" t="s">
        <v>239</v>
      </c>
      <c r="E83" s="8" t="s">
        <v>240</v>
      </c>
      <c r="F83" s="7" t="s">
        <v>241</v>
      </c>
      <c r="G83" s="10" t="s">
        <v>154</v>
      </c>
      <c r="H83" s="7" t="s">
        <v>232</v>
      </c>
      <c r="I83" s="6" t="s">
        <v>21</v>
      </c>
      <c r="J83" s="7">
        <v>0</v>
      </c>
      <c r="K83" s="8"/>
      <c r="L83" s="7"/>
    </row>
    <row r="84" spans="1:12" ht="18" customHeight="1" x14ac:dyDescent="0.3">
      <c r="A84" s="2">
        <v>81</v>
      </c>
      <c r="B84" s="2" t="s">
        <v>228</v>
      </c>
      <c r="C84" s="9" t="s">
        <v>44</v>
      </c>
      <c r="D84" s="4" t="s">
        <v>242</v>
      </c>
      <c r="E84" s="4" t="s">
        <v>230</v>
      </c>
      <c r="F84" s="2" t="s">
        <v>243</v>
      </c>
      <c r="G84" s="10" t="s">
        <v>154</v>
      </c>
      <c r="H84" s="2" t="s">
        <v>232</v>
      </c>
      <c r="I84" s="6" t="s">
        <v>21</v>
      </c>
      <c r="J84" s="2">
        <v>0</v>
      </c>
      <c r="K84" s="4"/>
      <c r="L84" s="2"/>
    </row>
    <row r="85" spans="1:12" ht="18" customHeight="1" x14ac:dyDescent="0.3">
      <c r="A85" s="7">
        <v>82</v>
      </c>
      <c r="B85" s="7" t="s">
        <v>228</v>
      </c>
      <c r="C85" s="9" t="s">
        <v>44</v>
      </c>
      <c r="D85" s="8" t="s">
        <v>244</v>
      </c>
      <c r="E85" s="8" t="s">
        <v>230</v>
      </c>
      <c r="F85" s="7" t="s">
        <v>245</v>
      </c>
      <c r="G85" s="10" t="s">
        <v>154</v>
      </c>
      <c r="H85" s="7" t="s">
        <v>232</v>
      </c>
      <c r="I85" s="6" t="s">
        <v>21</v>
      </c>
      <c r="J85" s="7">
        <v>0</v>
      </c>
      <c r="K85" s="8"/>
      <c r="L85" s="7"/>
    </row>
    <row r="86" spans="1:12" ht="18" customHeight="1" x14ac:dyDescent="0.3">
      <c r="A86" s="2">
        <v>83</v>
      </c>
      <c r="B86" s="2" t="s">
        <v>246</v>
      </c>
      <c r="C86" s="3" t="s">
        <v>15</v>
      </c>
      <c r="D86" s="4" t="s">
        <v>247</v>
      </c>
      <c r="E86" s="4" t="s">
        <v>248</v>
      </c>
      <c r="F86" s="2" t="s">
        <v>249</v>
      </c>
      <c r="G86" s="10" t="s">
        <v>154</v>
      </c>
      <c r="H86" s="2" t="s">
        <v>250</v>
      </c>
      <c r="I86" s="6" t="s">
        <v>21</v>
      </c>
      <c r="J86" s="2">
        <v>0</v>
      </c>
      <c r="K86" s="4"/>
      <c r="L86" s="2"/>
    </row>
    <row r="87" spans="1:12" ht="18" customHeight="1" x14ac:dyDescent="0.3">
      <c r="A87" s="7">
        <v>84</v>
      </c>
      <c r="B87" s="7" t="s">
        <v>246</v>
      </c>
      <c r="C87" s="3" t="s">
        <v>15</v>
      </c>
      <c r="D87" s="8" t="s">
        <v>251</v>
      </c>
      <c r="E87" s="8" t="s">
        <v>248</v>
      </c>
      <c r="F87" s="7" t="s">
        <v>252</v>
      </c>
      <c r="G87" s="10" t="s">
        <v>154</v>
      </c>
      <c r="H87" s="7" t="s">
        <v>250</v>
      </c>
      <c r="I87" s="6" t="s">
        <v>21</v>
      </c>
      <c r="J87" s="7">
        <v>0</v>
      </c>
      <c r="K87" s="8"/>
      <c r="L87" s="7"/>
    </row>
    <row r="88" spans="1:12" ht="18" customHeight="1" x14ac:dyDescent="0.3">
      <c r="A88" s="2">
        <v>85</v>
      </c>
      <c r="B88" s="2" t="s">
        <v>246</v>
      </c>
      <c r="C88" s="3" t="s">
        <v>15</v>
      </c>
      <c r="D88" s="4" t="s">
        <v>253</v>
      </c>
      <c r="E88" s="4" t="s">
        <v>248</v>
      </c>
      <c r="F88" s="2" t="s">
        <v>254</v>
      </c>
      <c r="G88" s="10" t="s">
        <v>154</v>
      </c>
      <c r="H88" s="2" t="s">
        <v>250</v>
      </c>
      <c r="I88" s="6" t="s">
        <v>21</v>
      </c>
      <c r="J88" s="2">
        <v>0</v>
      </c>
      <c r="K88" s="4"/>
      <c r="L88" s="2"/>
    </row>
    <row r="89" spans="1:12" ht="18" customHeight="1" x14ac:dyDescent="0.3">
      <c r="A89" s="7">
        <v>86</v>
      </c>
      <c r="B89" s="7" t="s">
        <v>246</v>
      </c>
      <c r="C89" s="3" t="s">
        <v>15</v>
      </c>
      <c r="D89" s="8" t="s">
        <v>255</v>
      </c>
      <c r="E89" s="8" t="s">
        <v>248</v>
      </c>
      <c r="F89" s="7" t="s">
        <v>256</v>
      </c>
      <c r="G89" s="10" t="s">
        <v>154</v>
      </c>
      <c r="H89" s="7" t="s">
        <v>250</v>
      </c>
      <c r="I89" s="6" t="s">
        <v>21</v>
      </c>
      <c r="J89" s="7">
        <v>0</v>
      </c>
      <c r="K89" s="8"/>
      <c r="L89" s="7"/>
    </row>
    <row r="90" spans="1:12" ht="18" customHeight="1" x14ac:dyDescent="0.3">
      <c r="A90" s="2">
        <v>87</v>
      </c>
      <c r="B90" s="2" t="s">
        <v>246</v>
      </c>
      <c r="C90" s="3" t="s">
        <v>15</v>
      </c>
      <c r="D90" s="4" t="s">
        <v>257</v>
      </c>
      <c r="E90" s="4" t="s">
        <v>258</v>
      </c>
      <c r="F90" s="2" t="s">
        <v>259</v>
      </c>
      <c r="G90" s="10" t="s">
        <v>154</v>
      </c>
      <c r="H90" s="2" t="s">
        <v>250</v>
      </c>
      <c r="I90" s="6" t="s">
        <v>21</v>
      </c>
      <c r="J90" s="2">
        <v>0</v>
      </c>
      <c r="K90" s="4"/>
      <c r="L90" s="2"/>
    </row>
    <row r="91" spans="1:12" ht="18" customHeight="1" x14ac:dyDescent="0.3">
      <c r="A91" s="7">
        <v>88</v>
      </c>
      <c r="B91" s="7" t="s">
        <v>246</v>
      </c>
      <c r="C91" s="3" t="s">
        <v>15</v>
      </c>
      <c r="D91" s="8" t="s">
        <v>260</v>
      </c>
      <c r="E91" s="8" t="s">
        <v>258</v>
      </c>
      <c r="F91" s="7" t="s">
        <v>261</v>
      </c>
      <c r="G91" s="10" t="s">
        <v>154</v>
      </c>
      <c r="H91" s="7" t="s">
        <v>250</v>
      </c>
      <c r="I91" s="6" t="s">
        <v>21</v>
      </c>
      <c r="J91" s="7">
        <v>0</v>
      </c>
      <c r="K91" s="8"/>
      <c r="L91" s="7"/>
    </row>
    <row r="92" spans="1:12" ht="18" customHeight="1" x14ac:dyDescent="0.3">
      <c r="A92" s="2">
        <v>89</v>
      </c>
      <c r="B92" s="2" t="s">
        <v>246</v>
      </c>
      <c r="C92" s="3" t="s">
        <v>15</v>
      </c>
      <c r="D92" s="4" t="s">
        <v>262</v>
      </c>
      <c r="E92" s="4" t="s">
        <v>263</v>
      </c>
      <c r="F92" s="2" t="s">
        <v>264</v>
      </c>
      <c r="G92" s="10" t="s">
        <v>154</v>
      </c>
      <c r="H92" s="2" t="s">
        <v>250</v>
      </c>
      <c r="I92" s="6" t="s">
        <v>21</v>
      </c>
      <c r="J92" s="2">
        <v>0</v>
      </c>
      <c r="K92" s="4"/>
      <c r="L92" s="2"/>
    </row>
    <row r="93" spans="1:12" ht="18" customHeight="1" x14ac:dyDescent="0.3">
      <c r="A93" s="7">
        <v>90</v>
      </c>
      <c r="B93" s="7" t="s">
        <v>246</v>
      </c>
      <c r="C93" s="9" t="s">
        <v>44</v>
      </c>
      <c r="D93" s="8" t="s">
        <v>265</v>
      </c>
      <c r="E93" s="8" t="s">
        <v>266</v>
      </c>
      <c r="F93" s="7" t="s">
        <v>267</v>
      </c>
      <c r="G93" s="10" t="s">
        <v>154</v>
      </c>
      <c r="H93" s="7" t="s">
        <v>250</v>
      </c>
      <c r="I93" s="6" t="s">
        <v>21</v>
      </c>
      <c r="J93" s="7">
        <v>0</v>
      </c>
      <c r="K93" s="8"/>
      <c r="L93" s="7"/>
    </row>
    <row r="94" spans="1:12" ht="18" customHeight="1" x14ac:dyDescent="0.3">
      <c r="A94" s="2">
        <v>91</v>
      </c>
      <c r="B94" s="2" t="s">
        <v>246</v>
      </c>
      <c r="C94" s="9" t="s">
        <v>44</v>
      </c>
      <c r="D94" s="4" t="s">
        <v>268</v>
      </c>
      <c r="E94" s="4" t="s">
        <v>266</v>
      </c>
      <c r="F94" s="2" t="s">
        <v>269</v>
      </c>
      <c r="G94" s="10" t="s">
        <v>154</v>
      </c>
      <c r="H94" s="2" t="s">
        <v>250</v>
      </c>
      <c r="I94" s="6" t="s">
        <v>21</v>
      </c>
      <c r="J94" s="2">
        <v>0</v>
      </c>
      <c r="K94" s="4"/>
      <c r="L94" s="2"/>
    </row>
    <row r="95" spans="1:12" ht="18" customHeight="1" x14ac:dyDescent="0.3">
      <c r="A95" s="7">
        <v>92</v>
      </c>
      <c r="B95" s="7" t="s">
        <v>246</v>
      </c>
      <c r="C95" s="9" t="s">
        <v>44</v>
      </c>
      <c r="D95" s="8" t="s">
        <v>270</v>
      </c>
      <c r="E95" s="8" t="s">
        <v>271</v>
      </c>
      <c r="F95" s="7" t="s">
        <v>272</v>
      </c>
      <c r="G95" s="10" t="s">
        <v>154</v>
      </c>
      <c r="H95" s="7" t="s">
        <v>250</v>
      </c>
      <c r="I95" s="6" t="s">
        <v>21</v>
      </c>
      <c r="J95" s="7">
        <v>0</v>
      </c>
      <c r="K95" s="8"/>
      <c r="L95" s="7"/>
    </row>
    <row r="96" spans="1:12" ht="18" customHeight="1" x14ac:dyDescent="0.3">
      <c r="A96" s="2">
        <v>93</v>
      </c>
      <c r="B96" s="2" t="s">
        <v>246</v>
      </c>
      <c r="C96" s="9" t="s">
        <v>44</v>
      </c>
      <c r="D96" s="4" t="s">
        <v>273</v>
      </c>
      <c r="E96" s="4" t="s">
        <v>93</v>
      </c>
      <c r="F96" s="2" t="s">
        <v>274</v>
      </c>
      <c r="G96" s="10" t="s">
        <v>154</v>
      </c>
      <c r="H96" s="2" t="s">
        <v>250</v>
      </c>
      <c r="I96" s="6" t="s">
        <v>21</v>
      </c>
      <c r="J96" s="2">
        <v>0</v>
      </c>
      <c r="K96" s="4"/>
      <c r="L96" s="2"/>
    </row>
    <row r="97" spans="1:12" ht="18" customHeight="1" x14ac:dyDescent="0.3">
      <c r="A97" s="7">
        <v>94</v>
      </c>
      <c r="B97" s="7" t="s">
        <v>246</v>
      </c>
      <c r="C97" s="9" t="s">
        <v>44</v>
      </c>
      <c r="D97" s="8" t="s">
        <v>275</v>
      </c>
      <c r="E97" s="8" t="s">
        <v>258</v>
      </c>
      <c r="F97" s="7" t="s">
        <v>276</v>
      </c>
      <c r="G97" s="10" t="s">
        <v>154</v>
      </c>
      <c r="H97" s="7" t="s">
        <v>250</v>
      </c>
      <c r="I97" s="6" t="s">
        <v>21</v>
      </c>
      <c r="J97" s="7">
        <v>0</v>
      </c>
      <c r="K97" s="8"/>
      <c r="L97" s="7"/>
    </row>
    <row r="98" spans="1:12" ht="18" customHeight="1" x14ac:dyDescent="0.3">
      <c r="A98" s="2">
        <v>95</v>
      </c>
      <c r="B98" s="2" t="s">
        <v>246</v>
      </c>
      <c r="C98" s="9" t="s">
        <v>44</v>
      </c>
      <c r="D98" s="4" t="s">
        <v>277</v>
      </c>
      <c r="E98" s="4" t="s">
        <v>230</v>
      </c>
      <c r="F98" s="2" t="s">
        <v>278</v>
      </c>
      <c r="G98" s="10" t="s">
        <v>154</v>
      </c>
      <c r="H98" s="2" t="s">
        <v>250</v>
      </c>
      <c r="I98" s="6" t="s">
        <v>21</v>
      </c>
      <c r="J98" s="2">
        <v>0</v>
      </c>
      <c r="K98" s="4"/>
      <c r="L98" s="2"/>
    </row>
    <row r="99" spans="1:12" ht="18" customHeight="1" x14ac:dyDescent="0.3">
      <c r="A99" s="7">
        <v>96</v>
      </c>
      <c r="B99" s="7" t="s">
        <v>246</v>
      </c>
      <c r="C99" s="9" t="s">
        <v>44</v>
      </c>
      <c r="D99" s="8" t="s">
        <v>279</v>
      </c>
      <c r="E99" s="8" t="s">
        <v>280</v>
      </c>
      <c r="F99" s="7" t="s">
        <v>281</v>
      </c>
      <c r="G99" s="10" t="s">
        <v>154</v>
      </c>
      <c r="H99" s="7" t="s">
        <v>250</v>
      </c>
      <c r="I99" s="6" t="s">
        <v>21</v>
      </c>
      <c r="J99" s="7">
        <v>0</v>
      </c>
      <c r="K99" s="8"/>
      <c r="L99" s="7"/>
    </row>
    <row r="100" spans="1:12" ht="18" customHeight="1" x14ac:dyDescent="0.3">
      <c r="A100" s="2">
        <v>97</v>
      </c>
      <c r="B100" s="2" t="s">
        <v>246</v>
      </c>
      <c r="C100" s="9" t="s">
        <v>44</v>
      </c>
      <c r="D100" s="4" t="s">
        <v>282</v>
      </c>
      <c r="E100" s="4" t="s">
        <v>283</v>
      </c>
      <c r="F100" s="2" t="s">
        <v>284</v>
      </c>
      <c r="G100" s="10" t="s">
        <v>154</v>
      </c>
      <c r="H100" s="2" t="s">
        <v>250</v>
      </c>
      <c r="I100" s="6" t="s">
        <v>21</v>
      </c>
      <c r="J100" s="2">
        <v>0</v>
      </c>
      <c r="K100" s="4"/>
      <c r="L100" s="2"/>
    </row>
    <row r="101" spans="1:12" ht="18" customHeight="1" x14ac:dyDescent="0.3">
      <c r="A101" s="7">
        <v>98</v>
      </c>
      <c r="B101" s="7" t="s">
        <v>285</v>
      </c>
      <c r="C101" s="3" t="s">
        <v>15</v>
      </c>
      <c r="D101" s="8" t="s">
        <v>286</v>
      </c>
      <c r="E101" s="8" t="s">
        <v>287</v>
      </c>
      <c r="F101" s="7" t="s">
        <v>288</v>
      </c>
      <c r="G101" s="11" t="s">
        <v>289</v>
      </c>
      <c r="H101" s="7" t="s">
        <v>290</v>
      </c>
      <c r="I101" s="6" t="s">
        <v>21</v>
      </c>
      <c r="J101" s="7">
        <v>0</v>
      </c>
      <c r="K101" s="8"/>
      <c r="L101" s="7"/>
    </row>
    <row r="102" spans="1:12" ht="18" customHeight="1" x14ac:dyDescent="0.3">
      <c r="A102" s="2">
        <v>99</v>
      </c>
      <c r="B102" s="2" t="s">
        <v>285</v>
      </c>
      <c r="C102" s="3" t="s">
        <v>15</v>
      </c>
      <c r="D102" s="4" t="s">
        <v>291</v>
      </c>
      <c r="E102" s="4" t="s">
        <v>292</v>
      </c>
      <c r="F102" s="2" t="s">
        <v>293</v>
      </c>
      <c r="G102" s="11" t="s">
        <v>289</v>
      </c>
      <c r="H102" s="2" t="s">
        <v>290</v>
      </c>
      <c r="I102" s="6" t="s">
        <v>21</v>
      </c>
      <c r="J102" s="2">
        <v>0</v>
      </c>
      <c r="K102" s="4"/>
      <c r="L102" s="2"/>
    </row>
    <row r="103" spans="1:12" ht="18" customHeight="1" x14ac:dyDescent="0.3">
      <c r="A103" s="7">
        <v>100</v>
      </c>
      <c r="B103" s="7" t="s">
        <v>285</v>
      </c>
      <c r="C103" s="9" t="s">
        <v>44</v>
      </c>
      <c r="D103" s="8" t="s">
        <v>294</v>
      </c>
      <c r="E103" s="8" t="s">
        <v>287</v>
      </c>
      <c r="F103" s="7" t="s">
        <v>295</v>
      </c>
      <c r="G103" s="11" t="s">
        <v>289</v>
      </c>
      <c r="H103" s="7" t="s">
        <v>290</v>
      </c>
      <c r="I103" s="6" t="s">
        <v>21</v>
      </c>
      <c r="J103" s="7">
        <v>0</v>
      </c>
      <c r="K103" s="8"/>
      <c r="L103" s="7"/>
    </row>
    <row r="104" spans="1:12" ht="18" customHeight="1" x14ac:dyDescent="0.3">
      <c r="A104" s="2">
        <v>101</v>
      </c>
      <c r="B104" s="2" t="s">
        <v>285</v>
      </c>
      <c r="C104" s="9" t="s">
        <v>44</v>
      </c>
      <c r="D104" s="4" t="s">
        <v>296</v>
      </c>
      <c r="E104" s="4" t="s">
        <v>297</v>
      </c>
      <c r="F104" s="2" t="s">
        <v>298</v>
      </c>
      <c r="G104" s="11" t="s">
        <v>289</v>
      </c>
      <c r="H104" s="2" t="s">
        <v>290</v>
      </c>
      <c r="I104" s="6" t="s">
        <v>21</v>
      </c>
      <c r="J104" s="2">
        <v>0</v>
      </c>
      <c r="K104" s="4"/>
      <c r="L104" s="2"/>
    </row>
    <row r="105" spans="1:12" ht="18" customHeight="1" x14ac:dyDescent="0.3">
      <c r="A105" s="7">
        <v>102</v>
      </c>
      <c r="B105" s="7" t="s">
        <v>285</v>
      </c>
      <c r="C105" s="9" t="s">
        <v>44</v>
      </c>
      <c r="D105" s="8" t="s">
        <v>299</v>
      </c>
      <c r="E105" s="8" t="s">
        <v>300</v>
      </c>
      <c r="F105" s="7" t="s">
        <v>301</v>
      </c>
      <c r="G105" s="11" t="s">
        <v>289</v>
      </c>
      <c r="H105" s="7" t="s">
        <v>290</v>
      </c>
      <c r="I105" s="6" t="s">
        <v>21</v>
      </c>
      <c r="J105" s="7">
        <v>0</v>
      </c>
      <c r="K105" s="8"/>
      <c r="L105" s="7"/>
    </row>
    <row r="106" spans="1:12" ht="18" customHeight="1" x14ac:dyDescent="0.3">
      <c r="A106" s="2">
        <v>103</v>
      </c>
      <c r="B106" s="2" t="s">
        <v>285</v>
      </c>
      <c r="C106" s="9" t="s">
        <v>44</v>
      </c>
      <c r="D106" s="4" t="s">
        <v>302</v>
      </c>
      <c r="E106" s="4" t="s">
        <v>303</v>
      </c>
      <c r="F106" s="2" t="s">
        <v>304</v>
      </c>
      <c r="G106" s="11" t="s">
        <v>289</v>
      </c>
      <c r="H106" s="2" t="s">
        <v>290</v>
      </c>
      <c r="I106" s="6" t="s">
        <v>21</v>
      </c>
      <c r="J106" s="2">
        <v>0</v>
      </c>
      <c r="K106" s="4"/>
      <c r="L106" s="2"/>
    </row>
    <row r="107" spans="1:12" ht="18" customHeight="1" x14ac:dyDescent="0.3">
      <c r="A107" s="7">
        <v>104</v>
      </c>
      <c r="B107" s="7" t="s">
        <v>285</v>
      </c>
      <c r="C107" s="9" t="s">
        <v>44</v>
      </c>
      <c r="D107" s="8" t="s">
        <v>305</v>
      </c>
      <c r="E107" s="8" t="s">
        <v>266</v>
      </c>
      <c r="F107" s="7" t="s">
        <v>306</v>
      </c>
      <c r="G107" s="11" t="s">
        <v>289</v>
      </c>
      <c r="H107" s="7" t="s">
        <v>290</v>
      </c>
      <c r="I107" s="6" t="s">
        <v>21</v>
      </c>
      <c r="J107" s="7">
        <v>0</v>
      </c>
      <c r="K107" s="8"/>
      <c r="L107" s="7"/>
    </row>
    <row r="108" spans="1:12" ht="18" customHeight="1" x14ac:dyDescent="0.3">
      <c r="A108" s="2">
        <v>105</v>
      </c>
      <c r="B108" s="2" t="s">
        <v>285</v>
      </c>
      <c r="C108" s="9" t="s">
        <v>44</v>
      </c>
      <c r="D108" s="4" t="s">
        <v>307</v>
      </c>
      <c r="E108" s="4" t="s">
        <v>266</v>
      </c>
      <c r="F108" s="2" t="s">
        <v>308</v>
      </c>
      <c r="G108" s="11" t="s">
        <v>289</v>
      </c>
      <c r="H108" s="2" t="s">
        <v>290</v>
      </c>
      <c r="I108" s="6" t="s">
        <v>21</v>
      </c>
      <c r="J108" s="2">
        <v>0</v>
      </c>
      <c r="K108" s="4"/>
      <c r="L108" s="2"/>
    </row>
    <row r="109" spans="1:12" ht="18" customHeight="1" x14ac:dyDescent="0.3">
      <c r="A109" s="7">
        <v>106</v>
      </c>
      <c r="B109" s="7" t="s">
        <v>285</v>
      </c>
      <c r="C109" s="9" t="s">
        <v>44</v>
      </c>
      <c r="D109" s="8" t="s">
        <v>309</v>
      </c>
      <c r="E109" s="8" t="s">
        <v>310</v>
      </c>
      <c r="F109" s="7" t="s">
        <v>311</v>
      </c>
      <c r="G109" s="11" t="s">
        <v>289</v>
      </c>
      <c r="H109" s="7" t="s">
        <v>290</v>
      </c>
      <c r="I109" s="6" t="s">
        <v>21</v>
      </c>
      <c r="J109" s="7">
        <v>0</v>
      </c>
      <c r="K109" s="8"/>
      <c r="L109" s="7"/>
    </row>
    <row r="110" spans="1:12" ht="18" customHeight="1" x14ac:dyDescent="0.3">
      <c r="A110" s="2">
        <v>107</v>
      </c>
      <c r="B110" s="2" t="s">
        <v>285</v>
      </c>
      <c r="C110" s="9" t="s">
        <v>44</v>
      </c>
      <c r="D110" s="4" t="s">
        <v>312</v>
      </c>
      <c r="E110" s="4" t="s">
        <v>313</v>
      </c>
      <c r="F110" s="2" t="s">
        <v>314</v>
      </c>
      <c r="G110" s="11" t="s">
        <v>289</v>
      </c>
      <c r="H110" s="2" t="s">
        <v>290</v>
      </c>
      <c r="I110" s="6" t="s">
        <v>21</v>
      </c>
      <c r="J110" s="2">
        <v>0</v>
      </c>
      <c r="K110" s="4"/>
      <c r="L110" s="2"/>
    </row>
    <row r="111" spans="1:12" ht="18" customHeight="1" x14ac:dyDescent="0.3">
      <c r="A111" s="7">
        <v>108</v>
      </c>
      <c r="B111" s="7" t="s">
        <v>285</v>
      </c>
      <c r="C111" s="9" t="s">
        <v>44</v>
      </c>
      <c r="D111" s="8" t="s">
        <v>315</v>
      </c>
      <c r="E111" s="8" t="s">
        <v>316</v>
      </c>
      <c r="F111" s="7" t="s">
        <v>317</v>
      </c>
      <c r="G111" s="11" t="s">
        <v>289</v>
      </c>
      <c r="H111" s="7" t="s">
        <v>290</v>
      </c>
      <c r="I111" s="6" t="s">
        <v>21</v>
      </c>
      <c r="J111" s="7">
        <v>0</v>
      </c>
      <c r="K111" s="8"/>
      <c r="L111" s="7"/>
    </row>
    <row r="112" spans="1:12" ht="18" customHeight="1" x14ac:dyDescent="0.3">
      <c r="A112" s="2">
        <v>109</v>
      </c>
      <c r="B112" s="2" t="s">
        <v>318</v>
      </c>
      <c r="C112" s="3" t="s">
        <v>15</v>
      </c>
      <c r="D112" s="4" t="s">
        <v>319</v>
      </c>
      <c r="E112" s="4" t="s">
        <v>320</v>
      </c>
      <c r="F112" s="2" t="s">
        <v>321</v>
      </c>
      <c r="G112" s="11" t="s">
        <v>289</v>
      </c>
      <c r="H112" s="2" t="s">
        <v>322</v>
      </c>
      <c r="I112" s="6" t="s">
        <v>21</v>
      </c>
      <c r="J112" s="2">
        <v>0</v>
      </c>
      <c r="K112" s="4"/>
      <c r="L112" s="2"/>
    </row>
    <row r="113" spans="1:12" ht="18" customHeight="1" x14ac:dyDescent="0.3">
      <c r="A113" s="7">
        <v>110</v>
      </c>
      <c r="B113" s="7" t="s">
        <v>318</v>
      </c>
      <c r="C113" s="3" t="s">
        <v>15</v>
      </c>
      <c r="D113" s="8" t="s">
        <v>323</v>
      </c>
      <c r="E113" s="8" t="s">
        <v>324</v>
      </c>
      <c r="F113" s="7" t="s">
        <v>325</v>
      </c>
      <c r="G113" s="11" t="s">
        <v>289</v>
      </c>
      <c r="H113" s="7" t="s">
        <v>322</v>
      </c>
      <c r="I113" s="6" t="s">
        <v>21</v>
      </c>
      <c r="J113" s="7">
        <v>0</v>
      </c>
      <c r="K113" s="8"/>
      <c r="L113" s="7"/>
    </row>
    <row r="114" spans="1:12" ht="18" customHeight="1" x14ac:dyDescent="0.3">
      <c r="A114" s="2">
        <v>111</v>
      </c>
      <c r="B114" s="2" t="s">
        <v>318</v>
      </c>
      <c r="C114" s="3" t="s">
        <v>15</v>
      </c>
      <c r="D114" s="4" t="s">
        <v>326</v>
      </c>
      <c r="E114" s="4" t="s">
        <v>327</v>
      </c>
      <c r="F114" s="2" t="s">
        <v>328</v>
      </c>
      <c r="G114" s="11" t="s">
        <v>289</v>
      </c>
      <c r="H114" s="2" t="s">
        <v>322</v>
      </c>
      <c r="I114" s="6" t="s">
        <v>21</v>
      </c>
      <c r="J114" s="2">
        <v>0</v>
      </c>
      <c r="K114" s="4"/>
      <c r="L114" s="2"/>
    </row>
    <row r="115" spans="1:12" ht="18" customHeight="1" x14ac:dyDescent="0.3">
      <c r="A115" s="7">
        <v>112</v>
      </c>
      <c r="B115" s="7" t="s">
        <v>318</v>
      </c>
      <c r="C115" s="9" t="s">
        <v>44</v>
      </c>
      <c r="D115" s="8" t="s">
        <v>329</v>
      </c>
      <c r="E115" s="8" t="s">
        <v>324</v>
      </c>
      <c r="F115" s="7" t="s">
        <v>330</v>
      </c>
      <c r="G115" s="11" t="s">
        <v>289</v>
      </c>
      <c r="H115" s="7" t="s">
        <v>322</v>
      </c>
      <c r="I115" s="6" t="s">
        <v>21</v>
      </c>
      <c r="J115" s="7">
        <v>0</v>
      </c>
      <c r="K115" s="8"/>
      <c r="L115" s="7"/>
    </row>
    <row r="116" spans="1:12" ht="18" customHeight="1" x14ac:dyDescent="0.3">
      <c r="A116" s="2">
        <v>113</v>
      </c>
      <c r="B116" s="2" t="s">
        <v>318</v>
      </c>
      <c r="C116" s="9" t="s">
        <v>44</v>
      </c>
      <c r="D116" s="4" t="s">
        <v>331</v>
      </c>
      <c r="E116" s="4" t="s">
        <v>324</v>
      </c>
      <c r="F116" s="2" t="s">
        <v>332</v>
      </c>
      <c r="G116" s="11" t="s">
        <v>289</v>
      </c>
      <c r="H116" s="2" t="s">
        <v>322</v>
      </c>
      <c r="I116" s="6" t="s">
        <v>21</v>
      </c>
      <c r="J116" s="2">
        <v>0</v>
      </c>
      <c r="K116" s="4"/>
      <c r="L116" s="2"/>
    </row>
    <row r="117" spans="1:12" ht="18" customHeight="1" x14ac:dyDescent="0.3">
      <c r="A117" s="7">
        <v>114</v>
      </c>
      <c r="B117" s="7" t="s">
        <v>318</v>
      </c>
      <c r="C117" s="9" t="s">
        <v>44</v>
      </c>
      <c r="D117" s="8" t="s">
        <v>333</v>
      </c>
      <c r="E117" s="8" t="s">
        <v>327</v>
      </c>
      <c r="F117" s="7" t="s">
        <v>334</v>
      </c>
      <c r="G117" s="11" t="s">
        <v>289</v>
      </c>
      <c r="H117" s="7" t="s">
        <v>322</v>
      </c>
      <c r="I117" s="6" t="s">
        <v>21</v>
      </c>
      <c r="J117" s="7">
        <v>0</v>
      </c>
      <c r="K117" s="8"/>
      <c r="L117" s="7"/>
    </row>
    <row r="118" spans="1:12" ht="18" customHeight="1" x14ac:dyDescent="0.3">
      <c r="A118" s="2">
        <v>115</v>
      </c>
      <c r="B118" s="2" t="s">
        <v>318</v>
      </c>
      <c r="C118" s="9" t="s">
        <v>44</v>
      </c>
      <c r="D118" s="4" t="s">
        <v>335</v>
      </c>
      <c r="E118" s="4" t="s">
        <v>336</v>
      </c>
      <c r="F118" s="2" t="s">
        <v>337</v>
      </c>
      <c r="G118" s="11" t="s">
        <v>289</v>
      </c>
      <c r="H118" s="2" t="s">
        <v>322</v>
      </c>
      <c r="I118" s="6" t="s">
        <v>21</v>
      </c>
      <c r="J118" s="2">
        <v>0</v>
      </c>
      <c r="K118" s="4"/>
      <c r="L118" s="2"/>
    </row>
    <row r="119" spans="1:12" ht="18" customHeight="1" x14ac:dyDescent="0.3">
      <c r="A119" s="7">
        <v>116</v>
      </c>
      <c r="B119" s="7" t="s">
        <v>318</v>
      </c>
      <c r="C119" s="9" t="s">
        <v>44</v>
      </c>
      <c r="D119" s="8" t="s">
        <v>338</v>
      </c>
      <c r="E119" s="8" t="s">
        <v>327</v>
      </c>
      <c r="F119" s="7" t="s">
        <v>339</v>
      </c>
      <c r="G119" s="11" t="s">
        <v>289</v>
      </c>
      <c r="H119" s="7" t="s">
        <v>322</v>
      </c>
      <c r="I119" s="6" t="s">
        <v>21</v>
      </c>
      <c r="J119" s="7">
        <v>0</v>
      </c>
      <c r="K119" s="8"/>
      <c r="L119" s="7"/>
    </row>
    <row r="120" spans="1:12" ht="18" customHeight="1" x14ac:dyDescent="0.3">
      <c r="A120" s="2">
        <v>117</v>
      </c>
      <c r="B120" s="2" t="s">
        <v>318</v>
      </c>
      <c r="C120" s="9" t="s">
        <v>44</v>
      </c>
      <c r="D120" s="4" t="s">
        <v>340</v>
      </c>
      <c r="E120" s="4" t="s">
        <v>327</v>
      </c>
      <c r="F120" s="2" t="s">
        <v>341</v>
      </c>
      <c r="G120" s="11" t="s">
        <v>289</v>
      </c>
      <c r="H120" s="2" t="s">
        <v>322</v>
      </c>
      <c r="I120" s="6" t="s">
        <v>21</v>
      </c>
      <c r="J120" s="2">
        <v>0</v>
      </c>
      <c r="K120" s="4"/>
      <c r="L120" s="2"/>
    </row>
    <row r="121" spans="1:12" ht="18" customHeight="1" x14ac:dyDescent="0.3">
      <c r="A121" s="7">
        <v>118</v>
      </c>
      <c r="B121" s="7" t="s">
        <v>318</v>
      </c>
      <c r="C121" s="9" t="s">
        <v>44</v>
      </c>
      <c r="D121" s="8" t="s">
        <v>342</v>
      </c>
      <c r="E121" s="8" t="s">
        <v>343</v>
      </c>
      <c r="F121" s="7" t="s">
        <v>344</v>
      </c>
      <c r="G121" s="11" t="s">
        <v>289</v>
      </c>
      <c r="H121" s="7" t="s">
        <v>322</v>
      </c>
      <c r="I121" s="6" t="s">
        <v>21</v>
      </c>
      <c r="J121" s="7">
        <v>0</v>
      </c>
      <c r="K121" s="8"/>
      <c r="L121" s="7"/>
    </row>
    <row r="122" spans="1:12" ht="18" customHeight="1" x14ac:dyDescent="0.3">
      <c r="A122" s="2">
        <v>119</v>
      </c>
      <c r="B122" s="2" t="s">
        <v>318</v>
      </c>
      <c r="C122" s="9" t="s">
        <v>44</v>
      </c>
      <c r="D122" s="4" t="s">
        <v>345</v>
      </c>
      <c r="E122" s="4" t="s">
        <v>346</v>
      </c>
      <c r="F122" s="2" t="s">
        <v>347</v>
      </c>
      <c r="G122" s="11" t="s">
        <v>289</v>
      </c>
      <c r="H122" s="2" t="s">
        <v>322</v>
      </c>
      <c r="I122" s="6" t="s">
        <v>21</v>
      </c>
      <c r="J122" s="2">
        <v>0</v>
      </c>
      <c r="K122" s="4"/>
      <c r="L122" s="2"/>
    </row>
    <row r="123" spans="1:12" ht="18" customHeight="1" x14ac:dyDescent="0.3">
      <c r="A123" s="7">
        <v>120</v>
      </c>
      <c r="B123" s="7" t="s">
        <v>318</v>
      </c>
      <c r="C123" s="9" t="s">
        <v>44</v>
      </c>
      <c r="D123" s="8" t="s">
        <v>348</v>
      </c>
      <c r="E123" s="8" t="s">
        <v>349</v>
      </c>
      <c r="F123" s="7" t="s">
        <v>350</v>
      </c>
      <c r="G123" s="11" t="s">
        <v>289</v>
      </c>
      <c r="H123" s="7" t="s">
        <v>322</v>
      </c>
      <c r="I123" s="6" t="s">
        <v>21</v>
      </c>
      <c r="J123" s="7">
        <v>0</v>
      </c>
      <c r="K123" s="8"/>
      <c r="L123" s="7"/>
    </row>
    <row r="124" spans="1:12" ht="18" customHeight="1" x14ac:dyDescent="0.3">
      <c r="A124" s="2">
        <v>121</v>
      </c>
      <c r="B124" s="2" t="s">
        <v>318</v>
      </c>
      <c r="C124" s="9" t="s">
        <v>44</v>
      </c>
      <c r="D124" s="4" t="s">
        <v>351</v>
      </c>
      <c r="E124" s="4" t="s">
        <v>324</v>
      </c>
      <c r="F124" s="2" t="s">
        <v>352</v>
      </c>
      <c r="G124" s="11" t="s">
        <v>289</v>
      </c>
      <c r="H124" s="2" t="s">
        <v>322</v>
      </c>
      <c r="I124" s="6" t="s">
        <v>21</v>
      </c>
      <c r="J124" s="2">
        <v>0</v>
      </c>
      <c r="K124" s="4"/>
      <c r="L124" s="2"/>
    </row>
    <row r="125" spans="1:12" ht="18" customHeight="1" x14ac:dyDescent="0.3">
      <c r="A125" s="7">
        <v>122</v>
      </c>
      <c r="B125" s="7" t="s">
        <v>318</v>
      </c>
      <c r="C125" s="9" t="s">
        <v>44</v>
      </c>
      <c r="D125" s="8" t="s">
        <v>353</v>
      </c>
      <c r="E125" s="8" t="s">
        <v>327</v>
      </c>
      <c r="F125" s="7" t="s">
        <v>354</v>
      </c>
      <c r="G125" s="11" t="s">
        <v>289</v>
      </c>
      <c r="H125" s="7" t="s">
        <v>322</v>
      </c>
      <c r="I125" s="6" t="s">
        <v>21</v>
      </c>
      <c r="J125" s="7">
        <v>0</v>
      </c>
      <c r="K125" s="8"/>
      <c r="L125" s="7"/>
    </row>
    <row r="126" spans="1:12" ht="18" customHeight="1" x14ac:dyDescent="0.3">
      <c r="A126" s="2">
        <v>123</v>
      </c>
      <c r="B126" s="2" t="s">
        <v>318</v>
      </c>
      <c r="C126" s="9" t="s">
        <v>44</v>
      </c>
      <c r="D126" s="4" t="s">
        <v>355</v>
      </c>
      <c r="E126" s="4" t="s">
        <v>356</v>
      </c>
      <c r="F126" s="2" t="s">
        <v>341</v>
      </c>
      <c r="G126" s="11" t="s">
        <v>289</v>
      </c>
      <c r="H126" s="2" t="s">
        <v>322</v>
      </c>
      <c r="I126" s="6" t="s">
        <v>21</v>
      </c>
      <c r="J126" s="2">
        <v>0</v>
      </c>
      <c r="K126" s="4"/>
      <c r="L126" s="2"/>
    </row>
  </sheetData>
  <mergeCells count="5">
    <mergeCell ref="D2:F2"/>
    <mergeCell ref="G2:I2"/>
    <mergeCell ref="J2:L2"/>
    <mergeCell ref="A1:L1"/>
    <mergeCell ref="A2:C2"/>
  </mergeCells>
  <conditionalFormatting sqref="A4:L153">
    <cfRule type="expression" dxfId="1" priority="1">
      <formula>$I4="Done"</formula>
    </cfRule>
    <cfRule type="expression" dxfId="0" priority="2">
      <formula>$I4="Revisit"</formula>
    </cfRule>
  </conditionalFormatting>
  <dataValidations count="1">
    <dataValidation type="list" allowBlank="1" sqref="I4:I153" xr:uid="{00000000-0002-0000-0000-000000000000}">
      <formula1>"Not Started,In Progress,Done,Revisit"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showGridLines="0" workbookViewId="0"/>
  </sheetViews>
  <sheetFormatPr defaultRowHeight="14.4" x14ac:dyDescent="0.3"/>
  <cols>
    <col min="1" max="5" width="22" customWidth="1"/>
    <col min="7" max="8" width="16" customWidth="1"/>
  </cols>
  <sheetData>
    <row r="1" spans="1:8" ht="31.95" customHeight="1" x14ac:dyDescent="0.3">
      <c r="A1" s="29" t="s">
        <v>357</v>
      </c>
      <c r="B1" s="28"/>
      <c r="C1" s="28"/>
      <c r="D1" s="28"/>
      <c r="E1" s="28"/>
      <c r="F1" s="28"/>
      <c r="G1" s="28"/>
      <c r="H1" s="28"/>
    </row>
    <row r="3" spans="1:8" x14ac:dyDescent="0.3">
      <c r="A3" s="1" t="s">
        <v>3</v>
      </c>
      <c r="B3" s="1" t="s">
        <v>358</v>
      </c>
      <c r="C3" s="1" t="s">
        <v>359</v>
      </c>
      <c r="D3" s="1" t="s">
        <v>360</v>
      </c>
      <c r="E3" s="1" t="s">
        <v>361</v>
      </c>
      <c r="G3" s="1" t="s">
        <v>8</v>
      </c>
      <c r="H3" s="1" t="s">
        <v>10</v>
      </c>
    </row>
    <row r="4" spans="1:8" ht="28.05" customHeight="1" x14ac:dyDescent="0.3">
      <c r="A4" s="12" t="s">
        <v>14</v>
      </c>
      <c r="B4" s="13">
        <v>18</v>
      </c>
      <c r="C4" s="14">
        <f>COUNTIFS('DSA Tracker'!B$4:B$153,A4,'DSA Tracker'!I$4:I$153,"Done")</f>
        <v>9</v>
      </c>
      <c r="D4" s="15">
        <f t="shared" ref="D4:D16" si="0">IFERROR(C4/B4,0)</f>
        <v>0.5</v>
      </c>
      <c r="E4" s="16">
        <f t="shared" ref="E4:E16" si="1">B4-C4</f>
        <v>9</v>
      </c>
      <c r="G4" s="17" t="s">
        <v>362</v>
      </c>
      <c r="H4" s="18" t="s">
        <v>363</v>
      </c>
    </row>
    <row r="5" spans="1:8" ht="28.05" customHeight="1" x14ac:dyDescent="0.3">
      <c r="A5" s="19" t="s">
        <v>71</v>
      </c>
      <c r="B5" s="13">
        <v>10</v>
      </c>
      <c r="C5" s="14">
        <f>COUNTIFS('DSA Tracker'!B$4:B$153,A5,'DSA Tracker'!I$4:I$153,"Done")</f>
        <v>0</v>
      </c>
      <c r="D5" s="15">
        <f t="shared" si="0"/>
        <v>0</v>
      </c>
      <c r="E5" s="16">
        <f t="shared" si="1"/>
        <v>10</v>
      </c>
      <c r="G5" s="17" t="s">
        <v>364</v>
      </c>
      <c r="H5" s="18" t="s">
        <v>365</v>
      </c>
    </row>
    <row r="6" spans="1:8" ht="28.05" customHeight="1" x14ac:dyDescent="0.3">
      <c r="A6" s="12" t="s">
        <v>97</v>
      </c>
      <c r="B6" s="13">
        <v>6</v>
      </c>
      <c r="C6" s="14">
        <f>COUNTIFS('DSA Tracker'!B$4:B$153,A6,'DSA Tracker'!I$4:I$153,"Done")</f>
        <v>0</v>
      </c>
      <c r="D6" s="15">
        <f t="shared" si="0"/>
        <v>0</v>
      </c>
      <c r="E6" s="16">
        <f t="shared" si="1"/>
        <v>6</v>
      </c>
      <c r="G6" s="17" t="s">
        <v>366</v>
      </c>
      <c r="H6" s="18" t="s">
        <v>367</v>
      </c>
    </row>
    <row r="7" spans="1:8" ht="19.95" customHeight="1" x14ac:dyDescent="0.3">
      <c r="A7" s="19" t="s">
        <v>112</v>
      </c>
      <c r="B7" s="13">
        <v>8</v>
      </c>
      <c r="C7" s="14">
        <f>COUNTIFS('DSA Tracker'!B$4:B$153,A7,'DSA Tracker'!I$4:I$153,"Done")</f>
        <v>0</v>
      </c>
      <c r="D7" s="15">
        <f t="shared" si="0"/>
        <v>0</v>
      </c>
      <c r="E7" s="16">
        <f t="shared" si="1"/>
        <v>8</v>
      </c>
    </row>
    <row r="8" spans="1:8" ht="19.95" customHeight="1" x14ac:dyDescent="0.3">
      <c r="A8" s="12" t="s">
        <v>135</v>
      </c>
      <c r="B8" s="13">
        <v>5</v>
      </c>
      <c r="C8" s="14">
        <f>COUNTIFS('DSA Tracker'!B$4:B$153,A8,'DSA Tracker'!I$4:I$153,"Done")</f>
        <v>0</v>
      </c>
      <c r="D8" s="15">
        <f t="shared" si="0"/>
        <v>0</v>
      </c>
      <c r="E8" s="16">
        <f t="shared" si="1"/>
        <v>5</v>
      </c>
    </row>
    <row r="9" spans="1:8" ht="19.95" customHeight="1" x14ac:dyDescent="0.3">
      <c r="A9" s="19" t="s">
        <v>150</v>
      </c>
      <c r="B9" s="13">
        <v>11</v>
      </c>
      <c r="C9" s="14">
        <f>COUNTIFS('DSA Tracker'!B$4:B$153,A9,'DSA Tracker'!I$4:I$153,"Done")</f>
        <v>0</v>
      </c>
      <c r="D9" s="15">
        <f t="shared" si="0"/>
        <v>0</v>
      </c>
      <c r="E9" s="16">
        <f t="shared" si="1"/>
        <v>11</v>
      </c>
    </row>
    <row r="10" spans="1:8" ht="19.95" customHeight="1" x14ac:dyDescent="0.3">
      <c r="A10" s="12" t="s">
        <v>182</v>
      </c>
      <c r="B10" s="13">
        <v>8</v>
      </c>
      <c r="C10" s="14">
        <f>COUNTIFS('DSA Tracker'!B$4:B$153,A10,'DSA Tracker'!I$4:I$153,"Done")</f>
        <v>0</v>
      </c>
      <c r="D10" s="15">
        <f t="shared" si="0"/>
        <v>0</v>
      </c>
      <c r="E10" s="16">
        <f t="shared" si="1"/>
        <v>8</v>
      </c>
    </row>
    <row r="11" spans="1:8" ht="19.95" customHeight="1" x14ac:dyDescent="0.3">
      <c r="A11" s="19" t="s">
        <v>205</v>
      </c>
      <c r="B11" s="13">
        <v>9</v>
      </c>
      <c r="C11" s="14">
        <f>COUNTIFS('DSA Tracker'!B$4:B$153,A11,'DSA Tracker'!I$4:I$153,"Done")</f>
        <v>0</v>
      </c>
      <c r="D11" s="15">
        <f t="shared" si="0"/>
        <v>0</v>
      </c>
      <c r="E11" s="16">
        <f t="shared" si="1"/>
        <v>9</v>
      </c>
    </row>
    <row r="12" spans="1:8" ht="19.95" customHeight="1" x14ac:dyDescent="0.3">
      <c r="A12" s="12" t="s">
        <v>228</v>
      </c>
      <c r="B12" s="13">
        <v>7</v>
      </c>
      <c r="C12" s="14">
        <f>COUNTIFS('DSA Tracker'!B$4:B$153,A12,'DSA Tracker'!I$4:I$153,"Done")</f>
        <v>0</v>
      </c>
      <c r="D12" s="15">
        <f t="shared" si="0"/>
        <v>0</v>
      </c>
      <c r="E12" s="16">
        <f t="shared" si="1"/>
        <v>7</v>
      </c>
    </row>
    <row r="13" spans="1:8" ht="19.95" customHeight="1" x14ac:dyDescent="0.3">
      <c r="A13" s="19" t="s">
        <v>246</v>
      </c>
      <c r="B13" s="13">
        <v>15</v>
      </c>
      <c r="C13" s="14">
        <f>COUNTIFS('DSA Tracker'!B$4:B$153,A13,'DSA Tracker'!I$4:I$153,"Done")</f>
        <v>0</v>
      </c>
      <c r="D13" s="15">
        <f t="shared" si="0"/>
        <v>0</v>
      </c>
      <c r="E13" s="16">
        <f t="shared" si="1"/>
        <v>15</v>
      </c>
    </row>
    <row r="14" spans="1:8" ht="19.95" customHeight="1" x14ac:dyDescent="0.3">
      <c r="A14" s="12" t="s">
        <v>285</v>
      </c>
      <c r="B14" s="13">
        <v>11</v>
      </c>
      <c r="C14" s="14">
        <f>COUNTIFS('DSA Tracker'!B$4:B$153,A14,'DSA Tracker'!I$4:I$153,"Done")</f>
        <v>0</v>
      </c>
      <c r="D14" s="15">
        <f t="shared" si="0"/>
        <v>0</v>
      </c>
      <c r="E14" s="16">
        <f t="shared" si="1"/>
        <v>11</v>
      </c>
    </row>
    <row r="15" spans="1:8" ht="19.95" customHeight="1" x14ac:dyDescent="0.3">
      <c r="A15" s="19" t="s">
        <v>318</v>
      </c>
      <c r="B15" s="13">
        <v>15</v>
      </c>
      <c r="C15" s="14">
        <f>COUNTIFS('DSA Tracker'!B$4:B$153,A15,'DSA Tracker'!I$4:I$153,"Done")</f>
        <v>0</v>
      </c>
      <c r="D15" s="15">
        <f t="shared" si="0"/>
        <v>0</v>
      </c>
      <c r="E15" s="16">
        <f t="shared" si="1"/>
        <v>15</v>
      </c>
    </row>
    <row r="16" spans="1:8" x14ac:dyDescent="0.3">
      <c r="A16" s="20" t="s">
        <v>368</v>
      </c>
      <c r="B16" s="1">
        <v>150</v>
      </c>
      <c r="C16" s="21">
        <f>SUM(C4:C15)</f>
        <v>9</v>
      </c>
      <c r="D16" s="22">
        <f t="shared" si="0"/>
        <v>0.06</v>
      </c>
      <c r="E16" s="23">
        <f t="shared" si="1"/>
        <v>141</v>
      </c>
    </row>
    <row r="18" spans="1:8" x14ac:dyDescent="0.3">
      <c r="A18" s="32" t="s">
        <v>369</v>
      </c>
      <c r="B18" s="28"/>
      <c r="C18" s="28"/>
      <c r="D18" s="28"/>
      <c r="E18" s="28"/>
      <c r="F18" s="28"/>
      <c r="G18" s="28"/>
      <c r="H18" s="28"/>
    </row>
    <row r="19" spans="1:8" ht="19.95" customHeight="1" x14ac:dyDescent="0.3">
      <c r="A19" s="30" t="s">
        <v>370</v>
      </c>
      <c r="B19" s="28"/>
      <c r="C19" s="28"/>
      <c r="D19" s="28"/>
      <c r="E19" s="28"/>
      <c r="F19" s="28"/>
      <c r="G19" s="28"/>
      <c r="H19" s="28"/>
    </row>
    <row r="20" spans="1:8" ht="19.95" customHeight="1" x14ac:dyDescent="0.3">
      <c r="A20" s="31" t="s">
        <v>371</v>
      </c>
      <c r="B20" s="28"/>
      <c r="C20" s="28"/>
      <c r="D20" s="28"/>
      <c r="E20" s="28"/>
      <c r="F20" s="28"/>
      <c r="G20" s="28"/>
      <c r="H20" s="28"/>
    </row>
    <row r="21" spans="1:8" ht="19.95" customHeight="1" x14ac:dyDescent="0.3">
      <c r="A21" s="30" t="s">
        <v>372</v>
      </c>
      <c r="B21" s="28"/>
      <c r="C21" s="28"/>
      <c r="D21" s="28"/>
      <c r="E21" s="28"/>
      <c r="F21" s="28"/>
      <c r="G21" s="28"/>
      <c r="H21" s="28"/>
    </row>
    <row r="22" spans="1:8" ht="19.95" customHeight="1" x14ac:dyDescent="0.3">
      <c r="A22" s="31" t="s">
        <v>373</v>
      </c>
      <c r="B22" s="28"/>
      <c r="C22" s="28"/>
      <c r="D22" s="28"/>
      <c r="E22" s="28"/>
      <c r="F22" s="28"/>
      <c r="G22" s="28"/>
      <c r="H22" s="28"/>
    </row>
    <row r="23" spans="1:8" ht="19.95" customHeight="1" x14ac:dyDescent="0.3">
      <c r="A23" s="30" t="s">
        <v>374</v>
      </c>
      <c r="B23" s="28"/>
      <c r="C23" s="28"/>
      <c r="D23" s="28"/>
      <c r="E23" s="28"/>
      <c r="F23" s="28"/>
      <c r="G23" s="28"/>
      <c r="H23" s="28"/>
    </row>
    <row r="24" spans="1:8" ht="19.95" customHeight="1" x14ac:dyDescent="0.3">
      <c r="A24" s="31" t="s">
        <v>375</v>
      </c>
      <c r="B24" s="28"/>
      <c r="C24" s="28"/>
      <c r="D24" s="28"/>
      <c r="E24" s="28"/>
      <c r="F24" s="28"/>
      <c r="G24" s="28"/>
      <c r="H24" s="28"/>
    </row>
    <row r="25" spans="1:8" ht="19.95" customHeight="1" x14ac:dyDescent="0.3">
      <c r="A25" s="30" t="s">
        <v>376</v>
      </c>
      <c r="B25" s="28"/>
      <c r="C25" s="28"/>
      <c r="D25" s="28"/>
      <c r="E25" s="28"/>
      <c r="F25" s="28"/>
      <c r="G25" s="28"/>
      <c r="H25" s="28"/>
    </row>
  </sheetData>
  <mergeCells count="9">
    <mergeCell ref="A25:H25"/>
    <mergeCell ref="A20:H20"/>
    <mergeCell ref="A24:H24"/>
    <mergeCell ref="A19:H19"/>
    <mergeCell ref="A1:H1"/>
    <mergeCell ref="A23:H23"/>
    <mergeCell ref="A22:H22"/>
    <mergeCell ref="A18:H18"/>
    <mergeCell ref="A21:H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12" customWidth="1"/>
    <col min="2" max="2" width="24" customWidth="1"/>
    <col min="3" max="3" width="42" customWidth="1"/>
    <col min="4" max="4" width="16" customWidth="1"/>
    <col min="5" max="5" width="10" customWidth="1"/>
    <col min="6" max="6" width="13" customWidth="1"/>
  </cols>
  <sheetData>
    <row r="1" spans="1:6" ht="31.95" customHeight="1" x14ac:dyDescent="0.3">
      <c r="A1" s="29" t="s">
        <v>377</v>
      </c>
      <c r="B1" s="28"/>
      <c r="C1" s="28"/>
      <c r="D1" s="28"/>
      <c r="E1" s="28"/>
      <c r="F1" s="28"/>
    </row>
    <row r="2" spans="1:6" x14ac:dyDescent="0.3">
      <c r="A2" s="1" t="s">
        <v>378</v>
      </c>
      <c r="B2" s="1" t="s">
        <v>3</v>
      </c>
      <c r="C2" s="1" t="s">
        <v>379</v>
      </c>
      <c r="D2" s="1" t="s">
        <v>380</v>
      </c>
      <c r="E2" s="1" t="s">
        <v>8</v>
      </c>
      <c r="F2" s="1" t="s">
        <v>381</v>
      </c>
    </row>
    <row r="3" spans="1:6" ht="36" customHeight="1" x14ac:dyDescent="0.3">
      <c r="A3" s="2" t="s">
        <v>382</v>
      </c>
      <c r="B3" s="4" t="s">
        <v>14</v>
      </c>
      <c r="C3" s="4" t="s">
        <v>383</v>
      </c>
      <c r="D3" s="24" t="s">
        <v>384</v>
      </c>
      <c r="E3" s="5" t="s">
        <v>19</v>
      </c>
      <c r="F3" s="2" t="s">
        <v>385</v>
      </c>
    </row>
    <row r="4" spans="1:6" ht="36" customHeight="1" x14ac:dyDescent="0.3">
      <c r="A4" s="7" t="s">
        <v>386</v>
      </c>
      <c r="B4" s="8" t="s">
        <v>387</v>
      </c>
      <c r="C4" s="8" t="s">
        <v>388</v>
      </c>
      <c r="D4" s="24" t="s">
        <v>389</v>
      </c>
      <c r="E4" s="5" t="s">
        <v>19</v>
      </c>
      <c r="F4" s="7" t="s">
        <v>390</v>
      </c>
    </row>
    <row r="5" spans="1:6" ht="36" customHeight="1" x14ac:dyDescent="0.3">
      <c r="A5" s="2" t="s">
        <v>391</v>
      </c>
      <c r="B5" s="4" t="s">
        <v>31</v>
      </c>
      <c r="C5" s="4" t="s">
        <v>392</v>
      </c>
      <c r="D5" s="24" t="s">
        <v>393</v>
      </c>
      <c r="E5" s="5" t="s">
        <v>19</v>
      </c>
      <c r="F5" s="2" t="s">
        <v>394</v>
      </c>
    </row>
    <row r="6" spans="1:6" ht="36" customHeight="1" x14ac:dyDescent="0.3">
      <c r="A6" s="7" t="s">
        <v>395</v>
      </c>
      <c r="B6" s="8" t="s">
        <v>82</v>
      </c>
      <c r="C6" s="8" t="s">
        <v>396</v>
      </c>
      <c r="D6" s="24" t="s">
        <v>397</v>
      </c>
      <c r="E6" s="5" t="s">
        <v>19</v>
      </c>
      <c r="F6" s="7" t="s">
        <v>398</v>
      </c>
    </row>
    <row r="7" spans="1:6" ht="36" customHeight="1" x14ac:dyDescent="0.3">
      <c r="A7" s="2" t="s">
        <v>399</v>
      </c>
      <c r="B7" s="4" t="s">
        <v>112</v>
      </c>
      <c r="C7" s="4" t="s">
        <v>400</v>
      </c>
      <c r="D7" s="24" t="s">
        <v>401</v>
      </c>
      <c r="E7" s="5" t="s">
        <v>19</v>
      </c>
      <c r="F7" s="2" t="s">
        <v>402</v>
      </c>
    </row>
    <row r="8" spans="1:6" ht="36" customHeight="1" x14ac:dyDescent="0.3">
      <c r="A8" s="7" t="s">
        <v>403</v>
      </c>
      <c r="B8" s="8" t="s">
        <v>135</v>
      </c>
      <c r="C8" s="8" t="s">
        <v>404</v>
      </c>
      <c r="D8" s="24" t="s">
        <v>397</v>
      </c>
      <c r="E8" s="5" t="s">
        <v>19</v>
      </c>
      <c r="F8" s="7" t="s">
        <v>398</v>
      </c>
    </row>
    <row r="9" spans="1:6" ht="36" customHeight="1" x14ac:dyDescent="0.3">
      <c r="A9" s="2" t="s">
        <v>405</v>
      </c>
      <c r="B9" s="4" t="s">
        <v>150</v>
      </c>
      <c r="C9" s="4" t="s">
        <v>406</v>
      </c>
      <c r="D9" s="24" t="s">
        <v>407</v>
      </c>
      <c r="E9" s="10" t="s">
        <v>154</v>
      </c>
      <c r="F9" s="2" t="s">
        <v>408</v>
      </c>
    </row>
    <row r="10" spans="1:6" ht="36" customHeight="1" x14ac:dyDescent="0.3">
      <c r="A10" s="7" t="s">
        <v>409</v>
      </c>
      <c r="B10" s="8" t="s">
        <v>182</v>
      </c>
      <c r="C10" s="8" t="s">
        <v>410</v>
      </c>
      <c r="D10" s="24" t="s">
        <v>411</v>
      </c>
      <c r="E10" s="10" t="s">
        <v>154</v>
      </c>
      <c r="F10" s="7" t="s">
        <v>402</v>
      </c>
    </row>
    <row r="11" spans="1:6" ht="36" customHeight="1" x14ac:dyDescent="0.3">
      <c r="A11" s="2" t="s">
        <v>412</v>
      </c>
      <c r="B11" s="4" t="s">
        <v>205</v>
      </c>
      <c r="C11" s="4" t="s">
        <v>413</v>
      </c>
      <c r="D11" s="24" t="s">
        <v>414</v>
      </c>
      <c r="E11" s="10" t="s">
        <v>154</v>
      </c>
      <c r="F11" s="2" t="s">
        <v>385</v>
      </c>
    </row>
    <row r="12" spans="1:6" ht="36" customHeight="1" x14ac:dyDescent="0.3">
      <c r="A12" s="7" t="s">
        <v>415</v>
      </c>
      <c r="B12" s="8" t="s">
        <v>416</v>
      </c>
      <c r="C12" s="8" t="s">
        <v>417</v>
      </c>
      <c r="D12" s="24" t="s">
        <v>418</v>
      </c>
      <c r="E12" s="10" t="s">
        <v>154</v>
      </c>
      <c r="F12" s="7" t="s">
        <v>419</v>
      </c>
    </row>
    <row r="13" spans="1:6" ht="36" customHeight="1" x14ac:dyDescent="0.3">
      <c r="A13" s="2" t="s">
        <v>420</v>
      </c>
      <c r="B13" s="4" t="s">
        <v>421</v>
      </c>
      <c r="C13" s="4" t="s">
        <v>422</v>
      </c>
      <c r="D13" s="24" t="s">
        <v>423</v>
      </c>
      <c r="E13" s="10" t="s">
        <v>154</v>
      </c>
      <c r="F13" s="2" t="s">
        <v>424</v>
      </c>
    </row>
    <row r="14" spans="1:6" ht="36" customHeight="1" x14ac:dyDescent="0.3">
      <c r="A14" s="7" t="s">
        <v>425</v>
      </c>
      <c r="B14" s="8" t="s">
        <v>426</v>
      </c>
      <c r="C14" s="8" t="s">
        <v>427</v>
      </c>
      <c r="D14" s="24" t="s">
        <v>428</v>
      </c>
      <c r="E14" s="11" t="s">
        <v>289</v>
      </c>
      <c r="F14" s="7" t="s">
        <v>408</v>
      </c>
    </row>
    <row r="15" spans="1:6" ht="36" customHeight="1" x14ac:dyDescent="0.3">
      <c r="A15" s="2" t="s">
        <v>429</v>
      </c>
      <c r="B15" s="4" t="s">
        <v>318</v>
      </c>
      <c r="C15" s="4" t="s">
        <v>430</v>
      </c>
      <c r="D15" s="24" t="s">
        <v>431</v>
      </c>
      <c r="E15" s="11" t="s">
        <v>289</v>
      </c>
      <c r="F15" s="2" t="s">
        <v>424</v>
      </c>
    </row>
    <row r="16" spans="1:6" ht="36" customHeight="1" x14ac:dyDescent="0.3">
      <c r="A16" s="7" t="s">
        <v>432</v>
      </c>
      <c r="B16" s="8" t="s">
        <v>433</v>
      </c>
      <c r="C16" s="8" t="s">
        <v>434</v>
      </c>
      <c r="D16" s="25" t="s">
        <v>435</v>
      </c>
      <c r="E16" s="11" t="s">
        <v>289</v>
      </c>
      <c r="F16" s="7" t="s">
        <v>436</v>
      </c>
    </row>
    <row r="17" spans="1:6" ht="36" customHeight="1" x14ac:dyDescent="0.3">
      <c r="A17" s="2" t="s">
        <v>437</v>
      </c>
      <c r="B17" s="4" t="s">
        <v>438</v>
      </c>
      <c r="C17" s="4" t="s">
        <v>439</v>
      </c>
      <c r="D17" s="25" t="s">
        <v>435</v>
      </c>
      <c r="E17" s="11" t="s">
        <v>289</v>
      </c>
      <c r="F17" s="2" t="s">
        <v>440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2" customWidth="1"/>
    <col min="2" max="2" width="32" customWidth="1"/>
    <col min="3" max="3" width="30" customWidth="1"/>
    <col min="4" max="4" width="16" customWidth="1"/>
    <col min="5" max="5" width="40" customWidth="1"/>
  </cols>
  <sheetData>
    <row r="1" spans="1:5" ht="30" customHeight="1" x14ac:dyDescent="0.3">
      <c r="A1" s="33" t="s">
        <v>441</v>
      </c>
      <c r="B1" s="28"/>
      <c r="C1" s="28"/>
      <c r="D1" s="28"/>
      <c r="E1" s="28"/>
    </row>
    <row r="2" spans="1:5" x14ac:dyDescent="0.3">
      <c r="A2" s="1" t="s">
        <v>6</v>
      </c>
      <c r="B2" s="1" t="s">
        <v>442</v>
      </c>
      <c r="C2" s="1" t="s">
        <v>443</v>
      </c>
      <c r="D2" s="1" t="s">
        <v>444</v>
      </c>
      <c r="E2" s="1" t="s">
        <v>445</v>
      </c>
    </row>
    <row r="3" spans="1:5" ht="30" customHeight="1" x14ac:dyDescent="0.3">
      <c r="A3" s="26" t="s">
        <v>31</v>
      </c>
      <c r="B3" s="4" t="s">
        <v>446</v>
      </c>
      <c r="C3" s="4" t="s">
        <v>447</v>
      </c>
      <c r="D3" s="2" t="s">
        <v>448</v>
      </c>
      <c r="E3" s="4" t="s">
        <v>449</v>
      </c>
    </row>
    <row r="4" spans="1:5" ht="30" customHeight="1" x14ac:dyDescent="0.3">
      <c r="A4" s="26" t="s">
        <v>82</v>
      </c>
      <c r="B4" s="8" t="s">
        <v>450</v>
      </c>
      <c r="C4" s="8" t="s">
        <v>451</v>
      </c>
      <c r="D4" s="7" t="s">
        <v>448</v>
      </c>
      <c r="E4" s="8" t="s">
        <v>452</v>
      </c>
    </row>
    <row r="5" spans="1:5" ht="30" customHeight="1" x14ac:dyDescent="0.3">
      <c r="A5" s="26" t="s">
        <v>57</v>
      </c>
      <c r="B5" s="4" t="s">
        <v>453</v>
      </c>
      <c r="C5" s="4" t="s">
        <v>454</v>
      </c>
      <c r="D5" s="2" t="s">
        <v>448</v>
      </c>
      <c r="E5" s="4" t="s">
        <v>455</v>
      </c>
    </row>
    <row r="6" spans="1:5" ht="30" customHeight="1" x14ac:dyDescent="0.3">
      <c r="A6" s="26" t="s">
        <v>456</v>
      </c>
      <c r="B6" s="8" t="s">
        <v>457</v>
      </c>
      <c r="C6" s="8" t="s">
        <v>458</v>
      </c>
      <c r="D6" s="7" t="s">
        <v>448</v>
      </c>
      <c r="E6" s="8" t="s">
        <v>459</v>
      </c>
    </row>
    <row r="7" spans="1:5" ht="30" customHeight="1" x14ac:dyDescent="0.3">
      <c r="A7" s="26" t="s">
        <v>17</v>
      </c>
      <c r="B7" s="4" t="s">
        <v>460</v>
      </c>
      <c r="C7" s="4" t="s">
        <v>461</v>
      </c>
      <c r="D7" s="2" t="s">
        <v>448</v>
      </c>
      <c r="E7" s="4" t="s">
        <v>462</v>
      </c>
    </row>
    <row r="8" spans="1:5" ht="30" customHeight="1" x14ac:dyDescent="0.3">
      <c r="A8" s="26" t="s">
        <v>205</v>
      </c>
      <c r="B8" s="8" t="s">
        <v>463</v>
      </c>
      <c r="C8" s="8" t="s">
        <v>464</v>
      </c>
      <c r="D8" s="7" t="s">
        <v>465</v>
      </c>
      <c r="E8" s="8" t="s">
        <v>466</v>
      </c>
    </row>
    <row r="9" spans="1:5" ht="30" customHeight="1" x14ac:dyDescent="0.3">
      <c r="A9" s="26" t="s">
        <v>266</v>
      </c>
      <c r="B9" s="4" t="s">
        <v>467</v>
      </c>
      <c r="C9" s="4" t="s">
        <v>468</v>
      </c>
      <c r="D9" s="2" t="s">
        <v>469</v>
      </c>
      <c r="E9" s="4" t="s">
        <v>470</v>
      </c>
    </row>
    <row r="10" spans="1:5" ht="30" customHeight="1" x14ac:dyDescent="0.3">
      <c r="A10" s="26" t="s">
        <v>258</v>
      </c>
      <c r="B10" s="8" t="s">
        <v>471</v>
      </c>
      <c r="C10" s="8" t="s">
        <v>472</v>
      </c>
      <c r="D10" s="7" t="s">
        <v>469</v>
      </c>
      <c r="E10" s="8" t="s">
        <v>473</v>
      </c>
    </row>
    <row r="11" spans="1:5" ht="30" customHeight="1" x14ac:dyDescent="0.3">
      <c r="A11" s="26" t="s">
        <v>230</v>
      </c>
      <c r="B11" s="4" t="s">
        <v>474</v>
      </c>
      <c r="C11" s="4" t="s">
        <v>475</v>
      </c>
      <c r="D11" s="2" t="s">
        <v>476</v>
      </c>
      <c r="E11" s="4" t="s">
        <v>477</v>
      </c>
    </row>
    <row r="12" spans="1:5" ht="30" customHeight="1" x14ac:dyDescent="0.3">
      <c r="A12" s="26" t="s">
        <v>318</v>
      </c>
      <c r="B12" s="8" t="s">
        <v>478</v>
      </c>
      <c r="C12" s="8" t="s">
        <v>479</v>
      </c>
      <c r="D12" s="7" t="s">
        <v>480</v>
      </c>
      <c r="E12" s="8" t="s">
        <v>481</v>
      </c>
    </row>
    <row r="13" spans="1:5" ht="30" customHeight="1" x14ac:dyDescent="0.3">
      <c r="A13" s="26" t="s">
        <v>194</v>
      </c>
      <c r="B13" s="4" t="s">
        <v>482</v>
      </c>
      <c r="C13" s="4" t="s">
        <v>483</v>
      </c>
      <c r="D13" s="2" t="s">
        <v>448</v>
      </c>
      <c r="E13" s="4" t="s">
        <v>484</v>
      </c>
    </row>
    <row r="14" spans="1:5" ht="30" customHeight="1" x14ac:dyDescent="0.3">
      <c r="A14" s="26" t="s">
        <v>300</v>
      </c>
      <c r="B14" s="8" t="s">
        <v>485</v>
      </c>
      <c r="C14" s="8" t="s">
        <v>486</v>
      </c>
      <c r="D14" s="7" t="s">
        <v>469</v>
      </c>
      <c r="E14" s="8" t="s">
        <v>487</v>
      </c>
    </row>
    <row r="15" spans="1:5" ht="30" customHeight="1" x14ac:dyDescent="0.3">
      <c r="A15" s="26" t="s">
        <v>488</v>
      </c>
      <c r="B15" s="4" t="s">
        <v>489</v>
      </c>
      <c r="C15" s="4" t="s">
        <v>490</v>
      </c>
      <c r="D15" s="2" t="s">
        <v>491</v>
      </c>
      <c r="E15" s="4" t="s">
        <v>492</v>
      </c>
    </row>
    <row r="16" spans="1:5" ht="30" customHeight="1" x14ac:dyDescent="0.3">
      <c r="A16" s="26" t="s">
        <v>23</v>
      </c>
      <c r="B16" s="8" t="s">
        <v>493</v>
      </c>
      <c r="C16" s="8" t="s">
        <v>494</v>
      </c>
      <c r="D16" s="7" t="s">
        <v>495</v>
      </c>
      <c r="E16" s="8" t="s">
        <v>496</v>
      </c>
    </row>
    <row r="17" spans="1:5" ht="30" customHeight="1" x14ac:dyDescent="0.3">
      <c r="A17" s="26" t="s">
        <v>497</v>
      </c>
      <c r="B17" s="4" t="s">
        <v>498</v>
      </c>
      <c r="C17" s="4" t="s">
        <v>499</v>
      </c>
      <c r="D17" s="2" t="s">
        <v>448</v>
      </c>
      <c r="E17" s="4" t="s">
        <v>500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DSA Tracker</vt:lpstr>
      <vt:lpstr>Progress Dashboard</vt:lpstr>
      <vt:lpstr>90-Day Schedule</vt:lpstr>
      <vt:lpstr>Patterns Cheatsheet</vt:lpstr>
      <vt:lpstr>'DSA Tracker'!Print_Titles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Sandip Parmar</cp:lastModifiedBy>
  <dcterms:created xsi:type="dcterms:W3CDTF">2026-04-15T12:40:33Z</dcterms:created>
  <dcterms:modified xsi:type="dcterms:W3CDTF">2026-04-17T16:53:56Z</dcterms:modified>
</cp:coreProperties>
</file>